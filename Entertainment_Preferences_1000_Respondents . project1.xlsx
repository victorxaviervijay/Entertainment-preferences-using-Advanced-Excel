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6E4DE6D6-7F26-454D-99C5-39C4EA69C34C}" xr6:coauthVersionLast="47" xr6:coauthVersionMax="47" xr10:uidLastSave="{00000000-0000-0000-0000-000000000000}"/>
  <bookViews>
    <workbookView xWindow="-120" yWindow="-120" windowWidth="20730" windowHeight="11040" firstSheet="2" activeTab="4" xr2:uid="{00000000-000D-0000-FFFF-FFFF00000000}"/>
  </bookViews>
  <sheets>
    <sheet name="Sheet5" sheetId="6" r:id="rId1"/>
    <sheet name="Sheet7" sheetId="13" r:id="rId2"/>
    <sheet name="Entertainment_Preferences" sheetId="1" r:id="rId3"/>
    <sheet name="Sheet1" sheetId="2" r:id="rId4"/>
    <sheet name="Sheet2" sheetId="3" r:id="rId5"/>
    <sheet name="Sheet8" sheetId="14" r:id="rId6"/>
  </sheets>
  <definedNames>
    <definedName name="_xlnm._FilterDatabase" localSheetId="2" hidden="1">Entertainment_Preferences!$G$1:$G$1001</definedName>
    <definedName name="_xlchart.v1.0" hidden="1">Entertainment_Preferences!$F$2:$F$1001</definedName>
    <definedName name="_xlchart.v1.1" hidden="1">Entertainment_Preferences!$I$1</definedName>
    <definedName name="_xlchart.v1.2" hidden="1">Entertainment_Preferences!$I$2:$I$1001</definedName>
    <definedName name="_xlchart.v1.3" hidden="1">Sheet2!$D$18</definedName>
    <definedName name="_xlchart.v1.4" hidden="1">Sheet2!$E$18:$ALP$18</definedName>
  </definedNames>
  <calcPr calcId="191029"/>
  <pivotCaches>
    <pivotCache cacheId="2" r:id="rId7"/>
    <pivotCache cacheId="3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6" i="3" l="1"/>
  <c r="B76" i="3"/>
  <c r="B75" i="3"/>
  <c r="B74" i="3"/>
  <c r="B73" i="3"/>
  <c r="B71" i="3"/>
  <c r="B70" i="3"/>
  <c r="B69" i="3"/>
  <c r="B68" i="3"/>
  <c r="B67" i="3"/>
  <c r="B27" i="3"/>
  <c r="B26" i="3"/>
  <c r="B25" i="3"/>
  <c r="B24" i="3"/>
  <c r="B23" i="3"/>
  <c r="B22" i="3"/>
  <c r="B21" i="3"/>
  <c r="B20" i="3"/>
  <c r="B19" i="3"/>
  <c r="B72" i="3" l="1"/>
  <c r="B77" i="3"/>
  <c r="B79" i="3" s="1"/>
  <c r="B28" i="3"/>
  <c r="B78" i="3" l="1"/>
</calcChain>
</file>

<file path=xl/sharedStrings.xml><?xml version="1.0" encoding="utf-8"?>
<sst xmlns="http://schemas.openxmlformats.org/spreadsheetml/2006/main" count="11204" uniqueCount="96">
  <si>
    <t>Respondent_ID</t>
  </si>
  <si>
    <t>Age</t>
  </si>
  <si>
    <t>Gender</t>
  </si>
  <si>
    <t>City_Type</t>
  </si>
  <si>
    <t>Education_Level</t>
  </si>
  <si>
    <t>Preferred_Entertainment_Type</t>
  </si>
  <si>
    <t>Weekly_Entertainment_Hours</t>
  </si>
  <si>
    <t>Primary_Platform</t>
  </si>
  <si>
    <t>Monthly_Spending_INR</t>
  </si>
  <si>
    <t>Preferred_Genre</t>
  </si>
  <si>
    <t>Device_Used</t>
  </si>
  <si>
    <t>Subscription_Status</t>
  </si>
  <si>
    <t>Social_Influence</t>
  </si>
  <si>
    <t>Satisfaction_Level_1_to_5</t>
  </si>
  <si>
    <t>Male</t>
  </si>
  <si>
    <t>Metro</t>
  </si>
  <si>
    <t>School</t>
  </si>
  <si>
    <t>Live Events</t>
  </si>
  <si>
    <t>Amazon Prime</t>
  </si>
  <si>
    <t>Drama</t>
  </si>
  <si>
    <t>Tablet</t>
  </si>
  <si>
    <t>Paid</t>
  </si>
  <si>
    <t>Yes</t>
  </si>
  <si>
    <t>Other</t>
  </si>
  <si>
    <t>PG</t>
  </si>
  <si>
    <t>Music</t>
  </si>
  <si>
    <t>Theatre</t>
  </si>
  <si>
    <t>Horror</t>
  </si>
  <si>
    <t>Free</t>
  </si>
  <si>
    <t>Female</t>
  </si>
  <si>
    <t>Gaming</t>
  </si>
  <si>
    <t>No</t>
  </si>
  <si>
    <t>Urban</t>
  </si>
  <si>
    <t>Movies</t>
  </si>
  <si>
    <t>TV</t>
  </si>
  <si>
    <t>Romance</t>
  </si>
  <si>
    <t>Rural</t>
  </si>
  <si>
    <t>Hotstar</t>
  </si>
  <si>
    <t>Laptop</t>
  </si>
  <si>
    <t>UG</t>
  </si>
  <si>
    <t>YouTube</t>
  </si>
  <si>
    <t>Action</t>
  </si>
  <si>
    <t>OTT</t>
  </si>
  <si>
    <t>PlayStation</t>
  </si>
  <si>
    <t>Comedy</t>
  </si>
  <si>
    <t>Sports</t>
  </si>
  <si>
    <t>Spotify</t>
  </si>
  <si>
    <t>Netflix</t>
  </si>
  <si>
    <t>Mobile</t>
  </si>
  <si>
    <t>Pop</t>
  </si>
  <si>
    <t>Thriller</t>
  </si>
  <si>
    <t>Row Labels</t>
  </si>
  <si>
    <t>Grand Total</t>
  </si>
  <si>
    <t>Count of Preferred_Entertainment_Type</t>
  </si>
  <si>
    <t>1. Which entertainment type is most preferred?</t>
  </si>
  <si>
    <t>Column Labels</t>
  </si>
  <si>
    <t>3. Does age influences the platform choice?</t>
  </si>
  <si>
    <t>4. What is the average monthly spending on entertainment?</t>
  </si>
  <si>
    <t>5. Does subscription status impact satisfaction level?</t>
  </si>
  <si>
    <t>6. Is there corelation between weekly hours and spending?</t>
  </si>
  <si>
    <t>G+A3:B28Row Labels</t>
  </si>
  <si>
    <t>preferred Entertainment Type</t>
  </si>
  <si>
    <t>2. How many hours do people spend weekly on entertainment?</t>
  </si>
  <si>
    <t>Mean</t>
  </si>
  <si>
    <t>Median</t>
  </si>
  <si>
    <t>Mode</t>
  </si>
  <si>
    <t>Min</t>
  </si>
  <si>
    <t>Max</t>
  </si>
  <si>
    <t>Standard Deviation</t>
  </si>
  <si>
    <t>Variance</t>
  </si>
  <si>
    <t>Correlation</t>
  </si>
  <si>
    <t>IQR</t>
  </si>
  <si>
    <t>Q1</t>
  </si>
  <si>
    <t>Q3</t>
  </si>
  <si>
    <t>Upper Bound</t>
  </si>
  <si>
    <t>Lower Bound</t>
  </si>
  <si>
    <t>Count of Weekly_Entertainment_Hours</t>
  </si>
  <si>
    <t>Count of Primary_Platform</t>
  </si>
  <si>
    <t>Age Group</t>
  </si>
  <si>
    <t>Count of Subscription_Status</t>
  </si>
  <si>
    <t>18-23</t>
  </si>
  <si>
    <t>24-29</t>
  </si>
  <si>
    <t>30-35</t>
  </si>
  <si>
    <t>36-41</t>
  </si>
  <si>
    <t>Sum of Monthly_Spending_INR</t>
  </si>
  <si>
    <t>Preferred Entertainment</t>
  </si>
  <si>
    <t>Analysis on Central Tendency</t>
  </si>
  <si>
    <t>Range</t>
  </si>
  <si>
    <t>Statisfaction Level / Rating</t>
  </si>
  <si>
    <t>Hours Spent on Weekly basis</t>
  </si>
  <si>
    <t>Correlation Coefficient</t>
  </si>
  <si>
    <t>Count of Education_Level</t>
  </si>
  <si>
    <t>(All)</t>
  </si>
  <si>
    <t>7. How does the intersection of geographic location and gender influence monthly spending across different entertainment genres?</t>
  </si>
  <si>
    <t>Genre</t>
  </si>
  <si>
    <t>8. What is the distribution of educational level among respondents?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</si>
</sst>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69"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FBC5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[Entertainment_Preferences_1000_Respondents . project1.xlsx]Sheet7!PivotTable6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Sheet7!$B$5:$B$8</c:f>
              <c:numCache>
                <c:formatCode>General</c:formatCode>
                <c:ptCount val="3"/>
                <c:pt idx="0">
                  <c:v>65378</c:v>
                </c:pt>
                <c:pt idx="1">
                  <c:v>55789</c:v>
                </c:pt>
                <c:pt idx="2">
                  <c:v>54873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3-42CF-A75F-A3D2AC124B68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Sheet7!$C$5:$C$8</c:f>
              <c:numCache>
                <c:formatCode>General</c:formatCode>
                <c:ptCount val="3"/>
                <c:pt idx="0">
                  <c:v>66179</c:v>
                </c:pt>
                <c:pt idx="1">
                  <c:v>70833</c:v>
                </c:pt>
                <c:pt idx="2">
                  <c:v>65883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F3-42CF-A75F-A3D2AC124B68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Sheet7!$D$5:$D$8</c:f>
              <c:numCache>
                <c:formatCode>General</c:formatCode>
                <c:ptCount val="3"/>
                <c:pt idx="0">
                  <c:v>87860</c:v>
                </c:pt>
                <c:pt idx="1">
                  <c:v>53570</c:v>
                </c:pt>
                <c:pt idx="2">
                  <c:v>74686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F3-42CF-A75F-A3D2AC124B68}"/>
            </c:ext>
          </c:extLst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Horror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Sheet7!$E$5:$E$8</c:f>
              <c:numCache>
                <c:formatCode>General</c:formatCode>
                <c:ptCount val="3"/>
                <c:pt idx="0">
                  <c:v>82041</c:v>
                </c:pt>
                <c:pt idx="1">
                  <c:v>56512</c:v>
                </c:pt>
                <c:pt idx="2">
                  <c:v>50616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F3-42CF-A75F-A3D2AC124B68}"/>
            </c:ext>
          </c:extLst>
        </c:ser>
        <c:ser>
          <c:idx val="4"/>
          <c:order val="4"/>
          <c:tx>
            <c:strRef>
              <c:f>Sheet7!$F$3:$F$4</c:f>
              <c:strCache>
                <c:ptCount val="1"/>
                <c:pt idx="0">
                  <c:v>Pop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Sheet7!$F$5:$F$8</c:f>
              <c:numCache>
                <c:formatCode>General</c:formatCode>
                <c:ptCount val="3"/>
                <c:pt idx="0">
                  <c:v>48552</c:v>
                </c:pt>
                <c:pt idx="1">
                  <c:v>53082</c:v>
                </c:pt>
                <c:pt idx="2">
                  <c:v>50007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F3-42CF-A75F-A3D2AC124B68}"/>
            </c:ext>
          </c:extLst>
        </c:ser>
        <c:ser>
          <c:idx val="5"/>
          <c:order val="5"/>
          <c:tx>
            <c:strRef>
              <c:f>Sheet7!$G$3:$G$4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Sheet7!$G$5:$G$8</c:f>
              <c:numCache>
                <c:formatCode>General</c:formatCode>
                <c:ptCount val="3"/>
                <c:pt idx="0">
                  <c:v>58173</c:v>
                </c:pt>
                <c:pt idx="1">
                  <c:v>68590</c:v>
                </c:pt>
                <c:pt idx="2">
                  <c:v>67092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F3-42CF-A75F-A3D2AC124B68}"/>
            </c:ext>
          </c:extLst>
        </c:ser>
        <c:ser>
          <c:idx val="6"/>
          <c:order val="6"/>
          <c:tx>
            <c:strRef>
              <c:f>Sheet7!$H$3:$H$4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Sheet7!$H$5:$H$8</c:f>
              <c:numCache>
                <c:formatCode>General</c:formatCode>
                <c:ptCount val="3"/>
                <c:pt idx="0">
                  <c:v>70019</c:v>
                </c:pt>
                <c:pt idx="1">
                  <c:v>77491</c:v>
                </c:pt>
                <c:pt idx="2">
                  <c:v>68871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F3-42CF-A75F-A3D2AC124B68}"/>
            </c:ext>
          </c:extLst>
        </c:ser>
        <c:ser>
          <c:idx val="7"/>
          <c:order val="7"/>
          <c:tx>
            <c:strRef>
              <c:f>Sheet7!$I$3:$I$4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Sheet7!$I$5:$I$8</c:f>
              <c:numCache>
                <c:formatCode>General</c:formatCode>
                <c:ptCount val="3"/>
                <c:pt idx="0">
                  <c:v>57595</c:v>
                </c:pt>
                <c:pt idx="1">
                  <c:v>68777</c:v>
                </c:pt>
                <c:pt idx="2">
                  <c:v>65916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F3-42CF-A75F-A3D2AC12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432272"/>
        <c:axId val="1507430832"/>
      </c:barChart>
      <c:catAx>
        <c:axId val="150743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30832"/>
        <c:crosses val="autoZero"/>
        <c:auto val="1"/>
        <c:lblAlgn val="ctr"/>
        <c:lblOffset val="100"/>
        <c:noMultiLvlLbl val="0"/>
      </c:catAx>
      <c:valAx>
        <c:axId val="15074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3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[Entertainment_Preferences_1000_Respondents . project1.xlsx]Sheet2!PivotTable1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PREFFERED </a:t>
            </a:r>
            <a:r>
              <a:rPr lang="en-US" sz="1400" b="1"/>
              <a:t>ENTERTAINMENT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Sheet2!$A$5:$A$11</c:f>
              <c:strCache>
                <c:ptCount val="6"/>
                <c:pt idx="0">
                  <c:v>Sports</c:v>
                </c:pt>
                <c:pt idx="1">
                  <c:v>OTT</c:v>
                </c:pt>
                <c:pt idx="2">
                  <c:v>Live Events</c:v>
                </c:pt>
                <c:pt idx="3">
                  <c:v>Movies</c:v>
                </c:pt>
                <c:pt idx="4">
                  <c:v>Gaming</c:v>
                </c:pt>
                <c:pt idx="5">
                  <c:v>Music</c:v>
                </c:pt>
              </c:strCache>
            </c:strRef>
          </c:cat>
          <c:val>
            <c:numRef>
              <c:f>Sheet2!$B$5:$B$11</c:f>
              <c:numCache>
                <c:formatCode>General</c:formatCode>
                <c:ptCount val="6"/>
                <c:pt idx="0">
                  <c:v>181</c:v>
                </c:pt>
                <c:pt idx="1">
                  <c:v>167</c:v>
                </c:pt>
                <c:pt idx="2">
                  <c:v>167</c:v>
                </c:pt>
                <c:pt idx="3">
                  <c:v>165</c:v>
                </c:pt>
                <c:pt idx="4">
                  <c:v>162</c:v>
                </c:pt>
                <c:pt idx="5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8-4631-BF0A-6F51544C64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35185472"/>
        <c:axId val="1535180672"/>
      </c:barChart>
      <c:catAx>
        <c:axId val="153518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80672"/>
        <c:crosses val="autoZero"/>
        <c:auto val="1"/>
        <c:lblAlgn val="ctr"/>
        <c:lblOffset val="100"/>
        <c:noMultiLvlLbl val="0"/>
      </c:catAx>
      <c:valAx>
        <c:axId val="153518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8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[Entertainment_Preferences_1000_Respondents . project1.xlsx]Sheet2!PivotTable7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INFLUENCE</a:t>
            </a:r>
            <a:r>
              <a:rPr lang="en-IN" baseline="0"/>
              <a:t> OF AGE ON PLATFORM CHOICE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Sheet2!$B$40:$B$41</c:f>
              <c:strCache>
                <c:ptCount val="1"/>
                <c:pt idx="0">
                  <c:v>Amazon Prime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Sheet2!$A$42:$A$46</c:f>
              <c:strCache>
                <c:ptCount val="4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</c:strCache>
            </c:strRef>
          </c:cat>
          <c:val>
            <c:numRef>
              <c:f>Sheet2!$B$42:$B$46</c:f>
              <c:numCache>
                <c:formatCode>General</c:formatCode>
                <c:ptCount val="4"/>
                <c:pt idx="0">
                  <c:v>22</c:v>
                </c:pt>
                <c:pt idx="1">
                  <c:v>38</c:v>
                </c:pt>
                <c:pt idx="2">
                  <c:v>32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5-4E6E-BD86-2F1872D53EF1}"/>
            </c:ext>
          </c:extLst>
        </c:ser>
        <c:ser>
          <c:idx val="1"/>
          <c:order val="1"/>
          <c:tx>
            <c:strRef>
              <c:f>Sheet2!$C$40:$C$41</c:f>
              <c:strCache>
                <c:ptCount val="1"/>
                <c:pt idx="0">
                  <c:v>Hotstar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Sheet2!$A$42:$A$46</c:f>
              <c:strCache>
                <c:ptCount val="4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</c:strCache>
            </c:strRef>
          </c:cat>
          <c:val>
            <c:numRef>
              <c:f>Sheet2!$C$42:$C$46</c:f>
              <c:numCache>
                <c:formatCode>General</c:formatCode>
                <c:ptCount val="4"/>
                <c:pt idx="0">
                  <c:v>39</c:v>
                </c:pt>
                <c:pt idx="1">
                  <c:v>36</c:v>
                </c:pt>
                <c:pt idx="2">
                  <c:v>23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5-4E6E-BD86-2F1872D53EF1}"/>
            </c:ext>
          </c:extLst>
        </c:ser>
        <c:ser>
          <c:idx val="2"/>
          <c:order val="2"/>
          <c:tx>
            <c:strRef>
              <c:f>Sheet2!$D$40:$D$41</c:f>
              <c:strCache>
                <c:ptCount val="1"/>
                <c:pt idx="0">
                  <c:v>Netflix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Sheet2!$A$42:$A$46</c:f>
              <c:strCache>
                <c:ptCount val="4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</c:strCache>
            </c:strRef>
          </c:cat>
          <c:val>
            <c:numRef>
              <c:f>Sheet2!$D$42:$D$46</c:f>
              <c:numCache>
                <c:formatCode>General</c:formatCode>
                <c:ptCount val="4"/>
                <c:pt idx="0">
                  <c:v>31</c:v>
                </c:pt>
                <c:pt idx="1">
                  <c:v>44</c:v>
                </c:pt>
                <c:pt idx="2">
                  <c:v>21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45-4E6E-BD86-2F1872D53EF1}"/>
            </c:ext>
          </c:extLst>
        </c:ser>
        <c:ser>
          <c:idx val="3"/>
          <c:order val="3"/>
          <c:tx>
            <c:strRef>
              <c:f>Sheet2!$E$40:$E$41</c:f>
              <c:strCache>
                <c:ptCount val="1"/>
                <c:pt idx="0">
                  <c:v>PlayStation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Sheet2!$A$42:$A$46</c:f>
              <c:strCache>
                <c:ptCount val="4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</c:strCache>
            </c:strRef>
          </c:cat>
          <c:val>
            <c:numRef>
              <c:f>Sheet2!$E$42:$E$46</c:f>
              <c:numCache>
                <c:formatCode>General</c:formatCode>
                <c:ptCount val="4"/>
                <c:pt idx="0">
                  <c:v>35</c:v>
                </c:pt>
                <c:pt idx="1">
                  <c:v>38</c:v>
                </c:pt>
                <c:pt idx="2">
                  <c:v>28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45-4E6E-BD86-2F1872D53EF1}"/>
            </c:ext>
          </c:extLst>
        </c:ser>
        <c:ser>
          <c:idx val="4"/>
          <c:order val="4"/>
          <c:tx>
            <c:strRef>
              <c:f>Sheet2!$F$40:$F$41</c:f>
              <c:strCache>
                <c:ptCount val="1"/>
                <c:pt idx="0">
                  <c:v>Spotify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Sheet2!$A$42:$A$46</c:f>
              <c:strCache>
                <c:ptCount val="4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</c:strCache>
            </c:strRef>
          </c:cat>
          <c:val>
            <c:numRef>
              <c:f>Sheet2!$F$42:$F$46</c:f>
              <c:numCache>
                <c:formatCode>General</c:formatCode>
                <c:ptCount val="4"/>
                <c:pt idx="0">
                  <c:v>33</c:v>
                </c:pt>
                <c:pt idx="1">
                  <c:v>37</c:v>
                </c:pt>
                <c:pt idx="2">
                  <c:v>38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45-4E6E-BD86-2F1872D53EF1}"/>
            </c:ext>
          </c:extLst>
        </c:ser>
        <c:ser>
          <c:idx val="5"/>
          <c:order val="5"/>
          <c:tx>
            <c:strRef>
              <c:f>Sheet2!$G$40:$G$41</c:f>
              <c:strCache>
                <c:ptCount val="1"/>
                <c:pt idx="0">
                  <c:v>Theatre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Sheet2!$A$42:$A$46</c:f>
              <c:strCache>
                <c:ptCount val="4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</c:strCache>
            </c:strRef>
          </c:cat>
          <c:val>
            <c:numRef>
              <c:f>Sheet2!$G$42:$G$46</c:f>
              <c:numCache>
                <c:formatCode>General</c:formatCode>
                <c:ptCount val="4"/>
                <c:pt idx="0">
                  <c:v>33</c:v>
                </c:pt>
                <c:pt idx="1">
                  <c:v>29</c:v>
                </c:pt>
                <c:pt idx="2">
                  <c:v>33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45-4E6E-BD86-2F1872D53EF1}"/>
            </c:ext>
          </c:extLst>
        </c:ser>
        <c:ser>
          <c:idx val="6"/>
          <c:order val="6"/>
          <c:tx>
            <c:strRef>
              <c:f>Sheet2!$H$40:$H$41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Sheet2!$A$42:$A$46</c:f>
              <c:strCache>
                <c:ptCount val="4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</c:strCache>
            </c:strRef>
          </c:cat>
          <c:val>
            <c:numRef>
              <c:f>Sheet2!$H$42:$H$46</c:f>
              <c:numCache>
                <c:formatCode>General</c:formatCode>
                <c:ptCount val="4"/>
                <c:pt idx="0">
                  <c:v>42</c:v>
                </c:pt>
                <c:pt idx="1">
                  <c:v>33</c:v>
                </c:pt>
                <c:pt idx="2">
                  <c:v>36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45-4E6E-BD86-2F1872D53EF1}"/>
            </c:ext>
          </c:extLst>
        </c:ser>
        <c:ser>
          <c:idx val="7"/>
          <c:order val="7"/>
          <c:tx>
            <c:strRef>
              <c:f>Sheet2!$I$40:$I$41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Sheet2!$A$42:$A$46</c:f>
              <c:strCache>
                <c:ptCount val="4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</c:strCache>
            </c:strRef>
          </c:cat>
          <c:val>
            <c:numRef>
              <c:f>Sheet2!$I$42:$I$46</c:f>
              <c:numCache>
                <c:formatCode>General</c:formatCode>
                <c:ptCount val="4"/>
                <c:pt idx="0">
                  <c:v>36</c:v>
                </c:pt>
                <c:pt idx="1">
                  <c:v>36</c:v>
                </c:pt>
                <c:pt idx="2">
                  <c:v>31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45-4E6E-BD86-2F1872D53E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045184"/>
        <c:axId val="121044224"/>
      </c:barChart>
      <c:catAx>
        <c:axId val="12104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4224"/>
        <c:crosses val="autoZero"/>
        <c:auto val="1"/>
        <c:lblAlgn val="ctr"/>
        <c:lblOffset val="100"/>
        <c:noMultiLvlLbl val="0"/>
      </c:catAx>
      <c:valAx>
        <c:axId val="12104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[Entertainment_Preferences_1000_Respondents . project1.xlsx]Sheet2!PivotTable8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SATISFACTION</a:t>
            </a:r>
            <a:r>
              <a:rPr lang="en-IN" b="1" baseline="0">
                <a:solidFill>
                  <a:schemeClr val="tx1"/>
                </a:solidFill>
              </a:rPr>
              <a:t> LEVEL BASED ON SUBSCRIPTION STATUS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Sheet2!$B$89:$B$90</c:f>
              <c:strCache>
                <c:ptCount val="1"/>
                <c:pt idx="0">
                  <c:v>Free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Sheet2!$A$91:$A$96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Sheet2!$B$91:$B$96</c:f>
              <c:numCache>
                <c:formatCode>General</c:formatCode>
                <c:ptCount val="5"/>
                <c:pt idx="0">
                  <c:v>89</c:v>
                </c:pt>
                <c:pt idx="1">
                  <c:v>94</c:v>
                </c:pt>
                <c:pt idx="2">
                  <c:v>106</c:v>
                </c:pt>
                <c:pt idx="3">
                  <c:v>99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5-488B-B054-7CE6F1F392FA}"/>
            </c:ext>
          </c:extLst>
        </c:ser>
        <c:ser>
          <c:idx val="1"/>
          <c:order val="1"/>
          <c:tx>
            <c:strRef>
              <c:f>Sheet2!$C$89:$C$90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Sheet2!$A$91:$A$96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Sheet2!$C$91:$C$96</c:f>
              <c:numCache>
                <c:formatCode>General</c:formatCode>
                <c:ptCount val="5"/>
                <c:pt idx="0">
                  <c:v>100</c:v>
                </c:pt>
                <c:pt idx="1">
                  <c:v>105</c:v>
                </c:pt>
                <c:pt idx="2">
                  <c:v>91</c:v>
                </c:pt>
                <c:pt idx="3">
                  <c:v>105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05-488B-B054-7CE6F1F392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2826096"/>
        <c:axId val="422825616"/>
      </c:barChart>
      <c:catAx>
        <c:axId val="42282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25616"/>
        <c:crosses val="autoZero"/>
        <c:auto val="1"/>
        <c:lblAlgn val="ctr"/>
        <c:lblOffset val="100"/>
        <c:noMultiLvlLbl val="0"/>
      </c:catAx>
      <c:valAx>
        <c:axId val="42282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1.7396520695860829E-2"/>
          <c:y val="0.75944226990968489"/>
          <c:w val="0.22135572885422916"/>
          <c:h val="0.125356462937297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Sheet2!$B$106</c:f>
              <c:strCache>
                <c:ptCount val="1"/>
                <c:pt idx="0">
                  <c:v>Sum of Monthly_Spending_INR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Sheet2!$A$107:$A$132</c:f>
              <c:numCache>
                <c:formatCode>General</c:formatCode>
                <c:ptCount val="2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</c:numCache>
            </c:numRef>
          </c:xVal>
          <c:yVal>
            <c:numRef>
              <c:f>Sheet2!$B$107:$B$132</c:f>
              <c:numCache>
                <c:formatCode>General</c:formatCode>
                <c:ptCount val="26"/>
                <c:pt idx="0">
                  <c:v>45676</c:v>
                </c:pt>
                <c:pt idx="1">
                  <c:v>67805</c:v>
                </c:pt>
                <c:pt idx="2">
                  <c:v>49296</c:v>
                </c:pt>
                <c:pt idx="3">
                  <c:v>60167</c:v>
                </c:pt>
                <c:pt idx="4">
                  <c:v>72258</c:v>
                </c:pt>
                <c:pt idx="5">
                  <c:v>52154</c:v>
                </c:pt>
                <c:pt idx="6">
                  <c:v>58858</c:v>
                </c:pt>
                <c:pt idx="7">
                  <c:v>60165</c:v>
                </c:pt>
                <c:pt idx="8">
                  <c:v>44288</c:v>
                </c:pt>
                <c:pt idx="9">
                  <c:v>46521</c:v>
                </c:pt>
                <c:pt idx="10">
                  <c:v>67557</c:v>
                </c:pt>
                <c:pt idx="11">
                  <c:v>41247</c:v>
                </c:pt>
                <c:pt idx="12">
                  <c:v>84287</c:v>
                </c:pt>
                <c:pt idx="13">
                  <c:v>72006</c:v>
                </c:pt>
                <c:pt idx="14">
                  <c:v>58050</c:v>
                </c:pt>
                <c:pt idx="15">
                  <c:v>56554</c:v>
                </c:pt>
                <c:pt idx="16">
                  <c:v>60706</c:v>
                </c:pt>
                <c:pt idx="17">
                  <c:v>66057</c:v>
                </c:pt>
                <c:pt idx="18">
                  <c:v>71385</c:v>
                </c:pt>
                <c:pt idx="19">
                  <c:v>54931</c:v>
                </c:pt>
                <c:pt idx="20">
                  <c:v>64785</c:v>
                </c:pt>
                <c:pt idx="21">
                  <c:v>70129</c:v>
                </c:pt>
                <c:pt idx="22">
                  <c:v>59873</c:v>
                </c:pt>
                <c:pt idx="23">
                  <c:v>52871</c:v>
                </c:pt>
                <c:pt idx="24">
                  <c:v>47653</c:v>
                </c:pt>
                <c:pt idx="25">
                  <c:v>53106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E-4E11-AB5E-2FFA80047B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114672672"/>
        <c:axId val="2114671712"/>
      </c:scatterChart>
      <c:valAx>
        <c:axId val="211467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671712"/>
        <c:crosses val="autoZero"/>
        <c:crossBetween val="midCat"/>
      </c:valAx>
      <c:valAx>
        <c:axId val="211467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67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[Entertainment_Preferences_1000_Respondents . project1.xlsx]Sheet7!PivotTable6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GENDER</a:t>
            </a:r>
            <a:r>
              <a:rPr lang="en-US" sz="1100" baseline="0"/>
              <a:t> BASED MONTHLY SPEND ON ENTERTAINMENT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40237622968885"/>
          <c:y val="0.28342634273016654"/>
          <c:w val="0.86460780188735953"/>
          <c:h val="0.435270199370409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Sheet7!$B$5:$B$8</c:f>
              <c:numCache>
                <c:formatCode>General</c:formatCode>
                <c:ptCount val="3"/>
                <c:pt idx="0">
                  <c:v>65378</c:v>
                </c:pt>
                <c:pt idx="1">
                  <c:v>55789</c:v>
                </c:pt>
                <c:pt idx="2">
                  <c:v>54873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1-45E7-98C7-3098809D46B5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Sheet7!$C$5:$C$8</c:f>
              <c:numCache>
                <c:formatCode>General</c:formatCode>
                <c:ptCount val="3"/>
                <c:pt idx="0">
                  <c:v>66179</c:v>
                </c:pt>
                <c:pt idx="1">
                  <c:v>70833</c:v>
                </c:pt>
                <c:pt idx="2">
                  <c:v>65883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91-45E7-98C7-3098809D46B5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Sheet7!$D$5:$D$8</c:f>
              <c:numCache>
                <c:formatCode>General</c:formatCode>
                <c:ptCount val="3"/>
                <c:pt idx="0">
                  <c:v>87860</c:v>
                </c:pt>
                <c:pt idx="1">
                  <c:v>53570</c:v>
                </c:pt>
                <c:pt idx="2">
                  <c:v>74686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91-45E7-98C7-3098809D46B5}"/>
            </c:ext>
          </c:extLst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Horror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Sheet7!$E$5:$E$8</c:f>
              <c:numCache>
                <c:formatCode>General</c:formatCode>
                <c:ptCount val="3"/>
                <c:pt idx="0">
                  <c:v>82041</c:v>
                </c:pt>
                <c:pt idx="1">
                  <c:v>56512</c:v>
                </c:pt>
                <c:pt idx="2">
                  <c:v>50616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91-45E7-98C7-3098809D46B5}"/>
            </c:ext>
          </c:extLst>
        </c:ser>
        <c:ser>
          <c:idx val="4"/>
          <c:order val="4"/>
          <c:tx>
            <c:strRef>
              <c:f>Sheet7!$F$3:$F$4</c:f>
              <c:strCache>
                <c:ptCount val="1"/>
                <c:pt idx="0">
                  <c:v>Pop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Sheet7!$F$5:$F$8</c:f>
              <c:numCache>
                <c:formatCode>General</c:formatCode>
                <c:ptCount val="3"/>
                <c:pt idx="0">
                  <c:v>48552</c:v>
                </c:pt>
                <c:pt idx="1">
                  <c:v>53082</c:v>
                </c:pt>
                <c:pt idx="2">
                  <c:v>50007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91-45E7-98C7-3098809D46B5}"/>
            </c:ext>
          </c:extLst>
        </c:ser>
        <c:ser>
          <c:idx val="5"/>
          <c:order val="5"/>
          <c:tx>
            <c:strRef>
              <c:f>Sheet7!$G$3:$G$4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Sheet7!$G$5:$G$8</c:f>
              <c:numCache>
                <c:formatCode>General</c:formatCode>
                <c:ptCount val="3"/>
                <c:pt idx="0">
                  <c:v>58173</c:v>
                </c:pt>
                <c:pt idx="1">
                  <c:v>68590</c:v>
                </c:pt>
                <c:pt idx="2">
                  <c:v>67092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91-45E7-98C7-3098809D46B5}"/>
            </c:ext>
          </c:extLst>
        </c:ser>
        <c:ser>
          <c:idx val="6"/>
          <c:order val="6"/>
          <c:tx>
            <c:strRef>
              <c:f>Sheet7!$H$3:$H$4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Sheet7!$H$5:$H$8</c:f>
              <c:numCache>
                <c:formatCode>General</c:formatCode>
                <c:ptCount val="3"/>
                <c:pt idx="0">
                  <c:v>70019</c:v>
                </c:pt>
                <c:pt idx="1">
                  <c:v>77491</c:v>
                </c:pt>
                <c:pt idx="2">
                  <c:v>68871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91-45E7-98C7-3098809D46B5}"/>
            </c:ext>
          </c:extLst>
        </c:ser>
        <c:ser>
          <c:idx val="7"/>
          <c:order val="7"/>
          <c:tx>
            <c:strRef>
              <c:f>Sheet7!$I$3:$I$4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Sheet7!$A$5:$A$8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Sheet7!$I$5:$I$8</c:f>
              <c:numCache>
                <c:formatCode>General</c:formatCode>
                <c:ptCount val="3"/>
                <c:pt idx="0">
                  <c:v>57595</c:v>
                </c:pt>
                <c:pt idx="1">
                  <c:v>68777</c:v>
                </c:pt>
                <c:pt idx="2">
                  <c:v>65916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91-45E7-98C7-3098809D4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432272"/>
        <c:axId val="1507430832"/>
      </c:barChart>
      <c:catAx>
        <c:axId val="150743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30832"/>
        <c:crosses val="autoZero"/>
        <c:auto val="1"/>
        <c:lblAlgn val="ctr"/>
        <c:lblOffset val="100"/>
        <c:noMultiLvlLbl val="0"/>
      </c:catAx>
      <c:valAx>
        <c:axId val="15074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3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[Entertainment_Preferences_1000_Respondents . project1.xlsx]Sheet2!PivotTable15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RESPONDENT'S EDUCATIONAL LEVEL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777777777777682E-2"/>
              <c:y val="-8.333333333333332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75E-2"/>
              <c:y val="-3.703703703703707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333333333333332"/>
              <c:y val="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777777777777682E-2"/>
              <c:y val="-8.333333333333332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333333333333332"/>
              <c:y val="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75E-2"/>
              <c:y val="-3.703703703703707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777777777777682E-2"/>
              <c:y val="-8.333333333333332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333333333333332"/>
              <c:y val="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75E-2"/>
              <c:y val="-3.703703703703707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0813648293963253E-2"/>
          <c:y val="0.26158646835812188"/>
          <c:w val="0.41351159230096241"/>
          <c:h val="0.68918598716827073"/>
        </c:manualLayout>
      </c:layout>
      <c:doughnutChart>
        <c:varyColors val="1"/>
        <c:ser>
          <c:idx val="0"/>
          <c:order val="0"/>
          <c:tx>
            <c:strRef>
              <c:f>Sheet2!$B$179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ED-4057-8592-227F0E14F0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ED-4057-8592-227F0E14F0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ED-4057-8592-227F0E14F089}"/>
              </c:ext>
            </c:extLst>
          </c:dPt>
          <c:dLbls>
            <c:dLbl>
              <c:idx val="0"/>
              <c:layout>
                <c:manualLayout>
                  <c:x val="7.7777777777777682E-2"/>
                  <c:y val="-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ED-4057-8592-227F0E14F089}"/>
                </c:ext>
              </c:extLst>
            </c:dLbl>
            <c:dLbl>
              <c:idx val="1"/>
              <c:layout>
                <c:manualLayout>
                  <c:x val="0.18333333333333332"/>
                  <c:y val="5.555555555555555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ED-4057-8592-227F0E14F089}"/>
                </c:ext>
              </c:extLst>
            </c:dLbl>
            <c:dLbl>
              <c:idx val="2"/>
              <c:layout>
                <c:manualLayout>
                  <c:x val="-8.0555555555555575E-2"/>
                  <c:y val="-3.70370370370370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ED-4057-8592-227F0E14F08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Sheet2!$A$180:$A$183</c:f>
              <c:strCache>
                <c:ptCount val="3"/>
                <c:pt idx="0">
                  <c:v>PG</c:v>
                </c:pt>
                <c:pt idx="1">
                  <c:v>School</c:v>
                </c:pt>
                <c:pt idx="2">
                  <c:v>UG</c:v>
                </c:pt>
              </c:strCache>
            </c:strRef>
          </c:cat>
          <c:val>
            <c:numRef>
              <c:f>Sheet2!$B$180:$B$183</c:f>
              <c:numCache>
                <c:formatCode>General</c:formatCode>
                <c:ptCount val="3"/>
                <c:pt idx="0">
                  <c:v>335</c:v>
                </c:pt>
                <c:pt idx="1">
                  <c:v>354</c:v>
                </c:pt>
                <c:pt idx="2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ED-4057-8592-227F0E14F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69444444444446"/>
          <c:y val="0.33035797608632256"/>
          <c:w val="0.26597222222222222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_xlchart.v1.4</cx:f>
      </cx:numDim>
    </cx:data>
  </cx:chartData>
  <cx:chart>
    <cx:title pos="t" align="ctr" overlay="0">
      <cx:tx>
        <cx:txData>
          <cx:v>WEEKLY ENTERTAINMENT HOURS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</a:rPr>
            <a:t>WEEKLY ENTERTAINMENT HOURS</a:t>
          </a:r>
        </a:p>
      </cx:txPr>
    </cx:title>
    <cx:plotArea>
      <cx:plotAreaRegion>
        <cx:series layoutId="boxWhisker" uniqueId="{A11866EC-43DD-4A08-B18A-B3D11C9AD6C0}">
          <cx:tx>
            <cx:txData>
              <cx:f>_xlchart.v1.3</cx:f>
              <cx:v>Weekly_Entertainment_Hours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MONTHLY SPENDING ON ENTERTAINMENT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</a:rPr>
            <a:t>MONTHLY SPENDING ON ENTERTAINMENT</a:t>
          </a:r>
        </a:p>
      </cx:txPr>
    </cx:title>
    <cx:plotArea>
      <cx:plotAreaRegion>
        <cx:series layoutId="boxWhisker" uniqueId="{E6108CCC-B313-4166-91E8-6226627C90E6}">
          <cx:tx>
            <cx:txData>
              <cx:f>_xlchart.v1.1</cx:f>
              <cx:v>Monthly_Spending_INR</cx:v>
            </cx:txData>
          </cx:tx>
          <cx:spPr>
            <a:gradFill>
              <a:gsLst>
                <a:gs pos="0">
                  <a:schemeClr val="accent1">
                    <a:lumMod val="20000"/>
                    <a:lumOff val="80000"/>
                  </a:schemeClr>
                </a:gs>
                <a:gs pos="100000">
                  <a:schemeClr val="bg1">
                    <a:lumMod val="95000"/>
                  </a:schemeClr>
                </a:gs>
                <a:gs pos="97000">
                  <a:schemeClr val="accent2">
                    <a:lumMod val="20000"/>
                    <a:lumOff val="80000"/>
                  </a:schemeClr>
                </a:gs>
                <a:gs pos="96000">
                  <a:srgbClr val="92D050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 b="1"/>
            </a:pPr>
            <a:endParaRPr lang="en-US" sz="12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1266825</xdr:colOff>
      <xdr:row>8</xdr:row>
      <xdr:rowOff>80962</xdr:rowOff>
    </xdr:from>
    <xdr:to>
      <xdr:col>7</xdr:col>
      <xdr:colOff>247650</xdr:colOff>
      <xdr:row>22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CB380-55DB-A22F-E21A-6854C409D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444500</xdr:colOff>
      <xdr:row>0</xdr:row>
      <xdr:rowOff>50800</xdr:rowOff>
    </xdr:from>
    <xdr:to>
      <xdr:col>14</xdr:col>
      <xdr:colOff>152400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FD6DE9-25B2-C81E-F5A2-587DEE51F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12699</xdr:colOff>
      <xdr:row>19</xdr:row>
      <xdr:rowOff>6350</xdr:rowOff>
    </xdr:from>
    <xdr:to>
      <xdr:col>10</xdr:col>
      <xdr:colOff>546100</xdr:colOff>
      <xdr:row>35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A0E3E32-A559-E097-C8BF-6E2344861D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94099" y="3625850"/>
              <a:ext cx="4124326" cy="321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82550</xdr:colOff>
      <xdr:row>36</xdr:row>
      <xdr:rowOff>63500</xdr:rowOff>
    </xdr:from>
    <xdr:to>
      <xdr:col>23</xdr:col>
      <xdr:colOff>266700</xdr:colOff>
      <xdr:row>56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7D6AAA-A8E8-69F4-532A-62F03C604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222250</xdr:colOff>
      <xdr:row>20</xdr:row>
      <xdr:rowOff>76200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31379BB-8DE6-0EF7-A89A-FBF786887746}"/>
            </a:ext>
          </a:extLst>
        </xdr:cNvPr>
        <xdr:cNvSpPr txBox="1"/>
      </xdr:nvSpPr>
      <xdr:spPr>
        <a:xfrm>
          <a:off x="6699250" y="339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2</xdr:col>
      <xdr:colOff>723900</xdr:colOff>
      <xdr:row>58</xdr:row>
      <xdr:rowOff>31750</xdr:rowOff>
    </xdr:from>
    <xdr:to>
      <xdr:col>10</xdr:col>
      <xdr:colOff>501650</xdr:colOff>
      <xdr:row>82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7CD48E3-B6FF-428A-81C2-E30227A27F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1400" y="11080750"/>
              <a:ext cx="4092575" cy="455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406400</xdr:colOff>
      <xdr:row>60</xdr:row>
      <xdr:rowOff>57150</xdr:rowOff>
    </xdr:from>
    <xdr:to>
      <xdr:col>9</xdr:col>
      <xdr:colOff>685800</xdr:colOff>
      <xdr:row>62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BDCD947-4E6F-6A03-5455-BC1B0582CB48}"/>
            </a:ext>
          </a:extLst>
        </xdr:cNvPr>
        <xdr:cNvSpPr txBox="1"/>
      </xdr:nvSpPr>
      <xdr:spPr>
        <a:xfrm>
          <a:off x="8604250" y="11106150"/>
          <a:ext cx="4222750" cy="463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50% of respondents spend between ₹788 and ₹2,306 per month. People Spent most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Sports event followed by Gaming &amp; OTT.</a:t>
          </a:r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/>
        </a:p>
      </xdr:txBody>
    </xdr:sp>
    <xdr:clientData/>
  </xdr:twoCellAnchor>
  <xdr:twoCellAnchor>
    <xdr:from>
      <xdr:col>4</xdr:col>
      <xdr:colOff>263524</xdr:colOff>
      <xdr:row>86</xdr:row>
      <xdr:rowOff>0</xdr:rowOff>
    </xdr:from>
    <xdr:to>
      <xdr:col>13</xdr:col>
      <xdr:colOff>444499</xdr:colOff>
      <xdr:row>103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6336413-AA89-427A-30F0-94E62BE5D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454024</xdr:colOff>
      <xdr:row>105</xdr:row>
      <xdr:rowOff>69850</xdr:rowOff>
    </xdr:from>
    <xdr:to>
      <xdr:col>13</xdr:col>
      <xdr:colOff>501650</xdr:colOff>
      <xdr:row>127</xdr:row>
      <xdr:rowOff>107950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E14DB22-3492-2FB9-0CC7-943D1501B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317500</xdr:colOff>
      <xdr:row>22</xdr:row>
      <xdr:rowOff>44449</xdr:rowOff>
    </xdr:from>
    <xdr:to>
      <xdr:col>5</xdr:col>
      <xdr:colOff>161925</xdr:colOff>
      <xdr:row>31</xdr:row>
      <xdr:rowOff>123824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22F498E-C1ED-7150-8E7A-B84448AC0390}"/>
            </a:ext>
          </a:extLst>
        </xdr:cNvPr>
        <xdr:cNvSpPr txBox="1"/>
      </xdr:nvSpPr>
      <xdr:spPr>
        <a:xfrm>
          <a:off x="3898900" y="4235449"/>
          <a:ext cx="739775" cy="17938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People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Spend an average of 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 Hours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entertainment on weekly basis.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9</xdr:col>
      <xdr:colOff>107950</xdr:colOff>
      <xdr:row>22</xdr:row>
      <xdr:rowOff>76200</xdr:rowOff>
    </xdr:from>
    <xdr:to>
      <xdr:col>10</xdr:col>
      <xdr:colOff>419100</xdr:colOff>
      <xdr:row>34</xdr:row>
      <xdr:rowOff>6350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91DA08-65A6-4221-E5F2-883FA9C93799}"/>
            </a:ext>
          </a:extLst>
        </xdr:cNvPr>
        <xdr:cNvSpPr txBox="1"/>
      </xdr:nvSpPr>
      <xdr:spPr>
        <a:xfrm>
          <a:off x="12249150" y="4127500"/>
          <a:ext cx="1060450" cy="21399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Revenue growth should </a:t>
          </a:r>
          <a:r>
            <a:rPr lang="en-IN" b="1"/>
            <a:t>focus</a:t>
          </a:r>
          <a:r>
            <a:rPr lang="en-IN"/>
            <a:t> on:</a:t>
          </a:r>
        </a:p>
        <a:p>
          <a:r>
            <a:rPr lang="en-IN"/>
            <a:t>Segment-based targeting, </a:t>
          </a:r>
        </a:p>
        <a:p>
          <a:r>
            <a:rPr lang="en-IN"/>
            <a:t>Personalization</a:t>
          </a:r>
        </a:p>
        <a:p>
          <a:r>
            <a:rPr lang="en-IN"/>
            <a:t>Upselling mid users, </a:t>
          </a:r>
        </a:p>
        <a:p>
          <a:r>
            <a:rPr lang="en-IN"/>
            <a:t>Retaining heavy users</a:t>
          </a:r>
        </a:p>
        <a:p>
          <a:endParaRPr lang="en-IN" sz="1100"/>
        </a:p>
      </xdr:txBody>
    </xdr:sp>
    <xdr:clientData/>
  </xdr:twoCellAnchor>
  <xdr:twoCellAnchor>
    <xdr:from>
      <xdr:col>0</xdr:col>
      <xdr:colOff>257174</xdr:colOff>
      <xdr:row>151</xdr:row>
      <xdr:rowOff>47626</xdr:rowOff>
    </xdr:from>
    <xdr:to>
      <xdr:col>8</xdr:col>
      <xdr:colOff>57150</xdr:colOff>
      <xdr:row>170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4AC0BA-143D-43EC-8C9F-2A118660E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190500</xdr:colOff>
      <xdr:row>174</xdr:row>
      <xdr:rowOff>0</xdr:rowOff>
    </xdr:from>
    <xdr:to>
      <xdr:col>12</xdr:col>
      <xdr:colOff>400050</xdr:colOff>
      <xdr:row>188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E53628-5579-43F5-A56B-2A1324E6F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0.66199</cdr:x>
      <cdr:y>0.22642</cdr:y>
    </cdr:from>
    <cdr:to>
      <cdr:x>0.99064</cdr:x>
      <cdr:y>0.53538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C59802-315E-C013-1B85-2EC628AA2FC7}"/>
            </a:ext>
          </a:extLst>
        </cdr:cNvPr>
        <cdr:cNvSpPr txBox="1"/>
      </cdr:nvSpPr>
      <cdr:spPr>
        <a:xfrm xmlns:a="http://schemas.openxmlformats.org/drawingml/2006/main">
          <a:off x="3594100" y="609600"/>
          <a:ext cx="1784350" cy="8318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75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bg1"/>
              </a:solidFill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People prefer to watch Sports the most,  OTT &amp; live events performed equally good.</a:t>
          </a:r>
          <a:endParaRPr lang="en-IN" b="1">
            <a:solidFill>
              <a:schemeClr val="bg1"/>
            </a:solidFill>
            <a:effectLst/>
          </a:endParaRPr>
        </a:p>
        <a:p xmlns:a="http://schemas.openxmlformats.org/drawingml/2006/main">
          <a:endParaRPr lang="en-IN" sz="1100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0.49804</cdr:x>
      <cdr:y>0.89152</cdr:y>
    </cdr:from>
    <cdr:to>
      <cdr:x>0.50368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25266D8-3714-1B9F-6A32-E803EB012EB1}"/>
            </a:ext>
          </a:extLst>
        </cdr:cNvPr>
        <cdr:cNvSpPr txBox="1"/>
      </cdr:nvSpPr>
      <cdr:spPr>
        <a:xfrm xmlns:a="http://schemas.openxmlformats.org/drawingml/2006/main">
          <a:off x="4038600" y="3276600"/>
          <a:ext cx="45719" cy="349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0.74002</cdr:x>
      <cdr:y>0.1463</cdr:y>
    </cdr:from>
    <cdr:to>
      <cdr:x>0.98982</cdr:x>
      <cdr:y>0.3167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356EFA7-40C0-0405-484F-BB0A33A6157F}"/>
            </a:ext>
          </a:extLst>
        </cdr:cNvPr>
        <cdr:cNvSpPr txBox="1"/>
      </cdr:nvSpPr>
      <cdr:spPr>
        <a:xfrm xmlns:a="http://schemas.openxmlformats.org/drawingml/2006/main">
          <a:off x="6000750" y="539750"/>
          <a:ext cx="2025650" cy="628650"/>
        </a:xfrm>
        <a:prstGeom xmlns:a="http://schemas.openxmlformats.org/drawingml/2006/main" prst="rect">
          <a:avLst/>
        </a:prstGeom>
        <a:solidFill xmlns:a="http://schemas.openxmlformats.org/drawingml/2006/main">
          <a:srgbClr val="FBC5F3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Traditional TV is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preferred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but digital streaming and music platforms are very close behind.</a:t>
          </a:r>
          <a:endParaRPr lang="en-IN" sz="1100" kern="1200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0.30414</cdr:x>
      <cdr:y>0.77563</cdr:y>
    </cdr:from>
    <cdr:to>
      <cdr:x>0.96401</cdr:x>
      <cdr:y>0.94584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56313F2-2A15-AEBE-5374-A3D069B3111A}"/>
            </a:ext>
          </a:extLst>
        </cdr:cNvPr>
        <cdr:cNvSpPr txBox="1"/>
      </cdr:nvSpPr>
      <cdr:spPr>
        <a:xfrm xmlns:a="http://schemas.openxmlformats.org/drawingml/2006/main">
          <a:off x="1609726" y="2546350"/>
          <a:ext cx="3492500" cy="558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0.28974</cdr:x>
      <cdr:y>0.75822</cdr:y>
    </cdr:from>
    <cdr:to>
      <cdr:x>0.92681</cdr:x>
      <cdr:y>0.97679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749D97A-5466-02AC-E0A4-0E61551CE4F7}"/>
            </a:ext>
          </a:extLst>
        </cdr:cNvPr>
        <cdr:cNvSpPr txBox="1"/>
      </cdr:nvSpPr>
      <cdr:spPr>
        <a:xfrm xmlns:a="http://schemas.openxmlformats.org/drawingml/2006/main">
          <a:off x="1533526" y="2489200"/>
          <a:ext cx="3371850" cy="7175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effectLst/>
              <a:latin typeface="+mn-lt"/>
              <a:ea typeface="+mn-ea"/>
              <a:cs typeface="+mn-cs"/>
            </a:rPr>
            <a:t>Free users appear </a:t>
          </a:r>
          <a:r>
            <a:rPr lang="en-IN" sz="1100" b="1">
              <a:effectLst/>
              <a:latin typeface="+mn-lt"/>
              <a:ea typeface="+mn-ea"/>
              <a:cs typeface="+mn-cs"/>
            </a:rPr>
            <a:t>marginally more satisfied overall</a:t>
          </a:r>
          <a:r>
            <a:rPr lang="en-IN" sz="1100">
              <a:effectLst/>
              <a:latin typeface="+mn-lt"/>
              <a:ea typeface="+mn-ea"/>
              <a:cs typeface="+mn-cs"/>
            </a:rPr>
            <a:t>.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effectLst/>
              <a:latin typeface="+mn-lt"/>
              <a:ea typeface="+mn-ea"/>
              <a:cs typeface="+mn-cs"/>
            </a:rPr>
            <a:t>Improving premium differentiation </a:t>
          </a:r>
          <a:r>
            <a:rPr lang="en-IN" sz="1100">
              <a:effectLst/>
              <a:latin typeface="+mn-lt"/>
              <a:ea typeface="+mn-ea"/>
              <a:cs typeface="+mn-cs"/>
            </a:rPr>
            <a:t>could raise paid-user satisfaction.</a:t>
          </a:r>
        </a:p>
        <a:p xmlns:a="http://schemas.openxmlformats.org/drawingml/2006/main">
          <a:endParaRPr lang="en-IN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0.51144</cdr:x>
      <cdr:y>0.65373</cdr:y>
    </cdr:from>
    <cdr:to>
      <cdr:x>0.93996</cdr:x>
      <cdr:y>0.90062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AE63EF-BB96-5264-EBCF-87C98A68C1C8}"/>
            </a:ext>
          </a:extLst>
        </cdr:cNvPr>
        <cdr:cNvSpPr txBox="1"/>
      </cdr:nvSpPr>
      <cdr:spPr>
        <a:xfrm xmlns:a="http://schemas.openxmlformats.org/drawingml/2006/main">
          <a:off x="4327526" y="2673350"/>
          <a:ext cx="3625850" cy="10096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b="1" kern="1200"/>
            <a:t>High-hour users </a:t>
          </a:r>
          <a:r>
            <a:rPr lang="en-IN" sz="1100" kern="1200"/>
            <a:t>(25–30 hrs) frequently appear in premium spending brackets (₹2000+). </a:t>
          </a:r>
          <a:r>
            <a:rPr lang="en-IN" sz="1100" b="1" kern="1200"/>
            <a:t> Ideal for upselling bundles &amp; exclusive plans.</a:t>
          </a:r>
        </a:p>
        <a:p xmlns:a="http://schemas.openxmlformats.org/drawingml/2006/main">
          <a:r>
            <a:rPr lang="en-IN" sz="1100" b="1" kern="1200"/>
            <a:t>Light users need engagement campaigns </a:t>
          </a:r>
          <a:r>
            <a:rPr lang="en-IN" sz="1100" kern="1200"/>
            <a:t>before monetization push.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0.38333</cdr:x>
      <cdr:y>0</cdr:y>
    </cdr:from>
    <cdr:to>
      <cdr:x>0.93542</cdr:x>
      <cdr:y>0.16138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29B09E3-BC97-2D6F-FEC6-774A00DF91CC}"/>
            </a:ext>
          </a:extLst>
        </cdr:cNvPr>
        <cdr:cNvSpPr txBox="1"/>
      </cdr:nvSpPr>
      <cdr:spPr>
        <a:xfrm xmlns:a="http://schemas.openxmlformats.org/drawingml/2006/main">
          <a:off x="1752600" y="0"/>
          <a:ext cx="2524125" cy="53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0.20267</cdr:x>
      <cdr:y>0.81102</cdr:y>
    </cdr:from>
    <cdr:to>
      <cdr:x>0.89568</cdr:x>
      <cdr:y>0.95801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0C1CEEF2-730D-6E27-F9DC-6243D7E36545}"/>
            </a:ext>
          </a:extLst>
        </cdr:cNvPr>
        <cdr:cNvSpPr txBox="1"/>
      </cdr:nvSpPr>
      <cdr:spPr>
        <a:xfrm xmlns:a="http://schemas.openxmlformats.org/drawingml/2006/main">
          <a:off x="1519281" y="2943224"/>
          <a:ext cx="5194918" cy="5334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lvl="0"/>
          <a:r>
            <a:rPr lang="en-IN" sz="1100">
              <a:effectLst/>
              <a:latin typeface="+mn-lt"/>
              <a:ea typeface="+mn-ea"/>
              <a:cs typeface="+mn-cs"/>
            </a:rPr>
            <a:t> The </a:t>
          </a:r>
          <a:r>
            <a:rPr lang="en-IN" sz="1100" b="1">
              <a:effectLst/>
              <a:latin typeface="+mn-lt"/>
              <a:ea typeface="+mn-ea"/>
              <a:cs typeface="+mn-cs"/>
            </a:rPr>
            <a:t>Urban</a:t>
          </a:r>
          <a:r>
            <a:rPr lang="en-IN" sz="1100">
              <a:effectLst/>
              <a:latin typeface="+mn-lt"/>
              <a:ea typeface="+mn-ea"/>
              <a:cs typeface="+mn-cs"/>
            </a:rPr>
            <a:t> sector is the largest contributor to revenue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&amp;</a:t>
          </a:r>
          <a:r>
            <a:rPr lang="en-IN" sz="1100"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effectLst/>
              <a:latin typeface="+mn-lt"/>
              <a:ea typeface="+mn-ea"/>
              <a:cs typeface="+mn-cs"/>
            </a:rPr>
            <a:t>Females</a:t>
          </a:r>
          <a:r>
            <a:rPr lang="en-IN" sz="1100">
              <a:effectLst/>
              <a:latin typeface="+mn-lt"/>
              <a:ea typeface="+mn-ea"/>
              <a:cs typeface="+mn-cs"/>
            </a:rPr>
            <a:t> lead the spending categories followed</a:t>
          </a:r>
          <a:r>
            <a:rPr lang="en-IN" sz="1100" baseline="0">
              <a:effectLst/>
              <a:latin typeface="+mn-lt"/>
              <a:ea typeface="+mn-ea"/>
              <a:cs typeface="+mn-cs"/>
            </a:rPr>
            <a:t> by men.</a:t>
          </a:r>
          <a:endParaRPr lang="en-US" sz="11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endParaRPr lang="en-US" sz="1100" kern="12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0.55625</cdr:x>
      <cdr:y>0.63542</cdr:y>
    </cdr:from>
    <cdr:to>
      <cdr:x>0.975</cdr:x>
      <cdr:y>0.80903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C5AA249-F1C4-256E-7079-5CC83F44F623}"/>
            </a:ext>
          </a:extLst>
        </cdr:cNvPr>
        <cdr:cNvSpPr txBox="1"/>
      </cdr:nvSpPr>
      <cdr:spPr>
        <a:xfrm xmlns:a="http://schemas.openxmlformats.org/drawingml/2006/main">
          <a:off x="2543175" y="1743076"/>
          <a:ext cx="1914525" cy="47624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20000"/>
            <a:lumOff val="8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Most</a:t>
          </a:r>
          <a:r>
            <a:rPr lang="en-US" sz="1100" kern="1200" baseline="0"/>
            <a:t> of the respondents have school level Qualification.</a:t>
          </a:r>
          <a:endParaRPr 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0.866244907411" createdVersion="8" refreshedVersion="8" minRefreshableVersion="3" recordCount="1000" xr:uid="{52C5EBDE-CD44-49BB-8FAD-0C1D90A9569A}">
  <cacheSource type="worksheet">
    <worksheetSource ref="A1:N1001" sheet="Entertainment_Preferences"/>
  </cacheSource>
  <cacheFields count="14">
    <cacheField name="Respondent_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Age" numFmtId="0">
      <sharedItems containsSemiMixedTypes="0" containsString="0" containsNumber="1" containsInteger="1" minValue="18" maxValue="40" count="23">
        <n v="38"/>
        <n v="20"/>
        <n v="23"/>
        <n v="29"/>
        <n v="40"/>
        <n v="26"/>
        <n v="35"/>
        <n v="21"/>
        <n v="39"/>
        <n v="37"/>
        <n v="36"/>
        <n v="24"/>
        <n v="32"/>
        <n v="33"/>
        <n v="22"/>
        <n v="34"/>
        <n v="27"/>
        <n v="30"/>
        <n v="28"/>
        <n v="19"/>
        <n v="31"/>
        <n v="18"/>
        <n v="25"/>
      </sharedItems>
      <fieldGroup base="1">
        <rangePr startNum="18" endNum="40" groupInterval="6"/>
        <groupItems count="6">
          <s v="&lt;18"/>
          <s v="18-23"/>
          <s v="24-29"/>
          <s v="30-35"/>
          <s v="36-41"/>
          <s v="&gt;42"/>
        </groupItems>
      </fieldGroup>
    </cacheField>
    <cacheField name="Gender" numFmtId="0">
      <sharedItems count="3">
        <s v="Male"/>
        <s v="Other"/>
        <s v="Female"/>
      </sharedItems>
    </cacheField>
    <cacheField name="City_Type" numFmtId="0">
      <sharedItems count="3">
        <s v="Metro"/>
        <s v="Urban"/>
        <s v="Rural"/>
      </sharedItems>
    </cacheField>
    <cacheField name="Education_Level" numFmtId="0">
      <sharedItems count="3">
        <s v="School"/>
        <s v="PG"/>
        <s v="UG"/>
      </sharedItems>
    </cacheField>
    <cacheField name="Preferred_Entertainment_Type" numFmtId="0">
      <sharedItems count="6">
        <s v="Live Events"/>
        <s v="Music"/>
        <s v="Gaming"/>
        <s v="Movies"/>
        <s v="OTT"/>
        <s v="Sports"/>
      </sharedItems>
    </cacheField>
    <cacheField name="Weekly_Entertainment_Hours" numFmtId="0">
      <sharedItems containsSemiMixedTypes="0" containsString="0" containsNumber="1" containsInteger="1" minValue="5" maxValue="30" count="26">
        <n v="8"/>
        <n v="11"/>
        <n v="27"/>
        <n v="24"/>
        <n v="7"/>
        <n v="16"/>
        <n v="25"/>
        <n v="22"/>
        <n v="9"/>
        <n v="28"/>
        <n v="21"/>
        <n v="15"/>
        <n v="29"/>
        <n v="14"/>
        <n v="12"/>
        <n v="30"/>
        <n v="17"/>
        <n v="6"/>
        <n v="5"/>
        <n v="13"/>
        <n v="18"/>
        <n v="23"/>
        <n v="26"/>
        <n v="20"/>
        <n v="19"/>
        <n v="10"/>
      </sharedItems>
    </cacheField>
    <cacheField name="Primary_Platform" numFmtId="0">
      <sharedItems count="8">
        <s v="Amazon Prime"/>
        <s v="Theatre"/>
        <s v="Hotstar"/>
        <s v="YouTube"/>
        <s v="PlayStation"/>
        <s v="Spotify"/>
        <s v="Netflix"/>
        <s v="TV"/>
      </sharedItems>
    </cacheField>
    <cacheField name="Monthly_Spending_INR" numFmtId="0">
      <sharedItems containsSemiMixedTypes="0" containsString="0" containsNumber="1" containsInteger="1" minValue="7" maxValue="3000" count="843">
        <n v="102"/>
        <n v="952"/>
        <n v="1731"/>
        <n v="1083"/>
        <n v="187"/>
        <n v="858"/>
        <n v="2818"/>
        <n v="2323"/>
        <n v="1076"/>
        <n v="2570"/>
        <n v="469"/>
        <n v="731"/>
        <n v="2001"/>
        <n v="2181"/>
        <n v="1634"/>
        <n v="942"/>
        <n v="974"/>
        <n v="397"/>
        <n v="784"/>
        <n v="2254"/>
        <n v="1642"/>
        <n v="1215"/>
        <n v="644"/>
        <n v="162"/>
        <n v="536"/>
        <n v="281"/>
        <n v="438"/>
        <n v="378"/>
        <n v="458"/>
        <n v="163"/>
        <n v="725"/>
        <n v="1927"/>
        <n v="284"/>
        <n v="156"/>
        <n v="2903"/>
        <n v="2717"/>
        <n v="2723"/>
        <n v="2375"/>
        <n v="2719"/>
        <n v="1946"/>
        <n v="2816"/>
        <n v="1903"/>
        <n v="1012"/>
        <n v="1309"/>
        <n v="2222"/>
        <n v="1597"/>
        <n v="1592"/>
        <n v="2715"/>
        <n v="1862"/>
        <n v="2662"/>
        <n v="468"/>
        <n v="105"/>
        <n v="495"/>
        <n v="1775"/>
        <n v="2426"/>
        <n v="1331"/>
        <n v="2949"/>
        <n v="1656"/>
        <n v="1109"/>
        <n v="1983"/>
        <n v="1238"/>
        <n v="2351"/>
        <n v="2014"/>
        <n v="1704"/>
        <n v="2543"/>
        <n v="307"/>
        <n v="2879"/>
        <n v="292"/>
        <n v="1115"/>
        <n v="2761"/>
        <n v="1785"/>
        <n v="2029"/>
        <n v="1655"/>
        <n v="211"/>
        <n v="1272"/>
        <n v="1195"/>
        <n v="2081"/>
        <n v="2206"/>
        <n v="956"/>
        <n v="2417"/>
        <n v="1085"/>
        <n v="2529"/>
        <n v="2842"/>
        <n v="1687"/>
        <n v="2612"/>
        <n v="1225"/>
        <n v="1470"/>
        <n v="2373"/>
        <n v="2174"/>
        <n v="924"/>
        <n v="2753"/>
        <n v="2652"/>
        <n v="475"/>
        <n v="2004"/>
        <n v="2808"/>
        <n v="868"/>
        <n v="604"/>
        <n v="1482"/>
        <n v="1645"/>
        <n v="1126"/>
        <n v="2874"/>
        <n v="1633"/>
        <n v="349"/>
        <n v="2725"/>
        <n v="918"/>
        <n v="1119"/>
        <n v="2172"/>
        <n v="2098"/>
        <n v="31"/>
        <n v="529"/>
        <n v="318"/>
        <n v="2531"/>
        <n v="1390"/>
        <n v="599"/>
        <n v="2633"/>
        <n v="230"/>
        <n v="369"/>
        <n v="253"/>
        <n v="2497"/>
        <n v="2285"/>
        <n v="2860"/>
        <n v="1734"/>
        <n v="634"/>
        <n v="2837"/>
        <n v="2187"/>
        <n v="2476"/>
        <n v="1840"/>
        <n v="1531"/>
        <n v="1175"/>
        <n v="2247"/>
        <n v="2551"/>
        <n v="1445"/>
        <n v="2603"/>
        <n v="1361"/>
        <n v="1874"/>
        <n v="2649"/>
        <n v="1801"/>
        <n v="2467"/>
        <n v="1745"/>
        <n v="2611"/>
        <n v="966"/>
        <n v="563"/>
        <n v="1585"/>
        <n v="303"/>
        <n v="2906"/>
        <n v="2344"/>
        <n v="1677"/>
        <n v="2407"/>
        <n v="923"/>
        <n v="690"/>
        <n v="2362"/>
        <n v="2805"/>
        <n v="1393"/>
        <n v="1910"/>
        <n v="1341"/>
        <n v="1610"/>
        <n v="2754"/>
        <n v="1640"/>
        <n v="2502"/>
        <n v="185"/>
        <n v="2525"/>
        <n v="448"/>
        <n v="698"/>
        <n v="1284"/>
        <n v="2712"/>
        <n v="1142"/>
        <n v="2955"/>
        <n v="2925"/>
        <n v="2521"/>
        <n v="1934"/>
        <n v="1169"/>
        <n v="2147"/>
        <n v="2943"/>
        <n v="2741"/>
        <n v="1093"/>
        <n v="1906"/>
        <n v="1958"/>
        <n v="2163"/>
        <n v="841"/>
        <n v="2288"/>
        <n v="1411"/>
        <n v="2645"/>
        <n v="1609"/>
        <n v="1886"/>
        <n v="413"/>
        <n v="889"/>
        <n v="905"/>
        <n v="1561"/>
        <n v="1231"/>
        <n v="2648"/>
        <n v="2406"/>
        <n v="2849"/>
        <n v="1473"/>
        <n v="2304"/>
        <n v="2333"/>
        <n v="1442"/>
        <n v="64"/>
        <n v="394"/>
        <n v="1880"/>
        <n v="1949"/>
        <n v="941"/>
        <n v="848"/>
        <n v="573"/>
        <n v="2514"/>
        <n v="1768"/>
        <n v="1556"/>
        <n v="1104"/>
        <n v="381"/>
        <n v="694"/>
        <n v="1724"/>
        <n v="27"/>
        <n v="2847"/>
        <n v="283"/>
        <n v="1839"/>
        <n v="2722"/>
        <n v="909"/>
        <n v="2828"/>
        <n v="1277"/>
        <n v="1229"/>
        <n v="1746"/>
        <n v="1759"/>
        <n v="2528"/>
        <n v="749"/>
        <n v="2201"/>
        <n v="1984"/>
        <n v="338"/>
        <n v="2028"/>
        <n v="2677"/>
        <n v="2408"/>
        <n v="2180"/>
        <n v="1135"/>
        <n v="1100"/>
        <n v="2383"/>
        <n v="1099"/>
        <n v="1882"/>
        <n v="382"/>
        <n v="373"/>
        <n v="493"/>
        <n v="872"/>
        <n v="1572"/>
        <n v="987"/>
        <n v="1496"/>
        <n v="1630"/>
        <n v="1269"/>
        <n v="1001"/>
        <n v="2873"/>
        <n v="120"/>
        <n v="2321"/>
        <n v="1932"/>
        <n v="319"/>
        <n v="1156"/>
        <n v="1900"/>
        <n v="1418"/>
        <n v="583"/>
        <n v="2610"/>
        <n v="1841"/>
        <n v="370"/>
        <n v="1457"/>
        <n v="2253"/>
        <n v="1524"/>
        <n v="1358"/>
        <n v="707"/>
        <n v="2255"/>
        <n v="2921"/>
        <n v="897"/>
        <n v="1091"/>
        <n v="2857"/>
        <n v="155"/>
        <n v="2936"/>
        <n v="1620"/>
        <n v="2301"/>
        <n v="7"/>
        <n v="2839"/>
        <n v="2019"/>
        <n v="82"/>
        <n v="2513"/>
        <n v="778"/>
        <n v="2341"/>
        <n v="2415"/>
        <n v="789"/>
        <n v="1589"/>
        <n v="2320"/>
        <n v="1988"/>
        <n v="2851"/>
        <n v="865"/>
        <n v="815"/>
        <n v="727"/>
        <n v="667"/>
        <n v="2651"/>
        <n v="893"/>
        <n v="442"/>
        <n v="984"/>
        <n v="1590"/>
        <n v="2286"/>
        <n v="1257"/>
        <n v="2376"/>
        <n v="820"/>
        <n v="1283"/>
        <n v="2594"/>
        <n v="2175"/>
        <n v="2061"/>
        <n v="1403"/>
        <n v="2066"/>
        <n v="435"/>
        <n v="2033"/>
        <n v="2095"/>
        <n v="715"/>
        <n v="2650"/>
        <n v="1639"/>
        <n v="462"/>
        <n v="2976"/>
        <n v="2030"/>
        <n v="322"/>
        <n v="420"/>
        <n v="222"/>
        <n v="8"/>
        <n v="1384"/>
        <n v="198"/>
        <n v="2482"/>
        <n v="546"/>
        <n v="1190"/>
        <n v="2732"/>
        <n v="2745"/>
        <n v="1469"/>
        <n v="1706"/>
        <n v="2471"/>
        <n v="1755"/>
        <n v="1321"/>
        <n v="753"/>
        <n v="1356"/>
        <n v="1535"/>
        <n v="2203"/>
        <n v="2810"/>
        <n v="288"/>
        <n v="484"/>
        <n v="2809"/>
        <n v="558"/>
        <n v="2345"/>
        <n v="299"/>
        <n v="960"/>
        <n v="624"/>
        <n v="2624"/>
        <n v="2259"/>
        <n v="2077"/>
        <n v="914"/>
        <n v="679"/>
        <n v="257"/>
        <n v="2656"/>
        <n v="2676"/>
        <n v="2055"/>
        <n v="2938"/>
        <n v="737"/>
        <n v="1972"/>
        <n v="2518"/>
        <n v="1517"/>
        <n v="1954"/>
        <n v="482"/>
        <n v="2397"/>
        <n v="2283"/>
        <n v="487"/>
        <n v="21"/>
        <n v="154"/>
        <n v="2690"/>
        <n v="1165"/>
        <n v="1667"/>
        <n v="1544"/>
        <n v="2595"/>
        <n v="2043"/>
        <n v="436"/>
        <n v="1125"/>
        <n v="2058"/>
        <n v="1554"/>
        <n v="1405"/>
        <n v="2340"/>
        <n v="612"/>
        <n v="195"/>
        <n v="1478"/>
        <n v="2661"/>
        <n v="593"/>
        <n v="1297"/>
        <n v="261"/>
        <n v="1267"/>
        <n v="1332"/>
        <n v="2619"/>
        <n v="637"/>
        <n v="37"/>
        <n v="2928"/>
        <n v="280"/>
        <n v="623"/>
        <n v="617"/>
        <n v="598"/>
        <n v="2927"/>
        <n v="2791"/>
        <n v="213"/>
        <n v="995"/>
        <n v="2287"/>
        <n v="1792"/>
        <n v="2271"/>
        <n v="1552"/>
        <n v="2037"/>
        <n v="904"/>
        <n v="1703"/>
        <n v="414"/>
        <n v="2877"/>
        <n v="1329"/>
        <n v="1832"/>
        <n v="1289"/>
        <n v="1976"/>
        <n v="1369"/>
        <n v="2313"/>
        <n v="1186"/>
        <n v="1779"/>
        <n v="1761"/>
        <n v="2432"/>
        <n v="455"/>
        <n v="578"/>
        <n v="2852"/>
        <n v="1198"/>
        <n v="1875"/>
        <n v="2802"/>
        <n v="2888"/>
        <n v="2978"/>
        <n v="107"/>
        <n v="1952"/>
        <n v="791"/>
        <n v="2527"/>
        <n v="2342"/>
        <n v="1171"/>
        <n v="736"/>
        <n v="2918"/>
        <n v="2701"/>
        <n v="740"/>
        <n v="23"/>
        <n v="26"/>
        <n v="150"/>
        <n v="660"/>
        <n v="1509"/>
        <n v="1694"/>
        <n v="1296"/>
        <n v="2902"/>
        <n v="1432"/>
        <n v="2252"/>
        <n v="229"/>
        <n v="1148"/>
        <n v="2907"/>
        <n v="716"/>
        <n v="3000"/>
        <n v="474"/>
        <n v="2699"/>
        <n v="1307"/>
        <n v="1434"/>
        <n v="2214"/>
        <n v="733"/>
        <n v="2747"/>
        <n v="2909"/>
        <n v="1996"/>
        <n v="521"/>
        <n v="977"/>
        <n v="1401"/>
        <n v="1823"/>
        <n v="569"/>
        <n v="255"/>
        <n v="770"/>
        <n v="589"/>
        <n v="1737"/>
        <n v="1102"/>
        <n v="581"/>
        <n v="1407"/>
        <n v="144"/>
        <n v="2557"/>
        <n v="58"/>
        <n v="1986"/>
        <n v="1802"/>
        <n v="1950"/>
        <n v="48"/>
        <n v="43"/>
        <n v="139"/>
        <n v="2653"/>
        <n v="1748"/>
        <n v="728"/>
        <n v="1766"/>
        <n v="1026"/>
        <n v="1602"/>
        <n v="2823"/>
        <n v="1392"/>
        <n v="437"/>
        <n v="2003"/>
        <n v="2953"/>
        <n v="2678"/>
        <n v="2503"/>
        <n v="2778"/>
        <n v="494"/>
        <n v="2589"/>
        <n v="2431"/>
        <n v="714"/>
        <n v="965"/>
        <n v="461"/>
        <n v="1029"/>
        <n v="290"/>
        <n v="932"/>
        <n v="1375"/>
        <n v="1939"/>
        <n v="2349"/>
        <n v="985"/>
        <n v="371"/>
        <n v="757"/>
        <n v="1105"/>
        <n v="1497"/>
        <n v="465"/>
        <n v="259"/>
        <n v="268"/>
        <n v="2855"/>
        <n v="1818"/>
        <n v="2727"/>
        <n v="1180"/>
        <n v="2729"/>
        <n v="2303"/>
        <n v="2045"/>
        <n v="1810"/>
        <n v="902"/>
        <n v="1824"/>
        <n v="1514"/>
        <n v="1702"/>
        <n v="2151"/>
        <n v="1898"/>
        <n v="2817"/>
        <n v="2617"/>
        <n v="2858"/>
        <n v="537"/>
        <n v="117"/>
        <n v="2829"/>
        <n v="1036"/>
        <n v="119"/>
        <n v="57"/>
        <n v="2414"/>
        <n v="1287"/>
        <n v="473"/>
        <n v="285"/>
        <n v="1617"/>
        <n v="551"/>
        <n v="2547"/>
        <n v="1071"/>
        <n v="1812"/>
        <n v="1593"/>
        <n v="2420"/>
        <n v="2391"/>
        <n v="1000"/>
        <n v="2205"/>
        <n v="2336"/>
        <n v="1226"/>
        <n v="1646"/>
        <n v="1422"/>
        <n v="2110"/>
        <n v="2516"/>
        <n v="2807"/>
        <n v="2462"/>
        <n v="1786"/>
        <n v="720"/>
        <n v="2692"/>
        <n v="500"/>
        <n v="1124"/>
        <n v="1009"/>
        <n v="2750"/>
        <n v="1046"/>
        <n v="2013"/>
        <n v="2466"/>
        <n v="819"/>
        <n v="1545"/>
        <n v="203"/>
        <n v="2153"/>
        <n v="533"/>
        <n v="1072"/>
        <n v="1628"/>
        <n v="1928"/>
        <n v="1519"/>
        <n v="1299"/>
        <n v="1158"/>
        <n v="2607"/>
        <n v="1913"/>
        <n v="1431"/>
        <n v="2040"/>
        <n v="332"/>
        <n v="2331"/>
        <n v="729"/>
        <n v="2010"/>
        <n v="380"/>
        <n v="324"/>
        <n v="184"/>
        <n v="2062"/>
        <n v="1219"/>
        <n v="2474"/>
        <n v="553"/>
        <n v="1784"/>
        <n v="2968"/>
        <n v="1708"/>
        <n v="787"/>
        <n v="1707"/>
        <n v="2481"/>
        <n v="2772"/>
        <n v="1992"/>
        <n v="454"/>
        <n v="2983"/>
        <n v="1798"/>
        <n v="1699"/>
        <n v="2114"/>
        <n v="251"/>
        <n v="32"/>
        <n v="808"/>
        <n v="1278"/>
        <n v="2998"/>
        <n v="2128"/>
        <n v="1649"/>
        <n v="2071"/>
        <n v="1512"/>
        <n v="1533"/>
        <n v="2002"/>
        <n v="2559"/>
        <n v="101"/>
        <n v="76"/>
        <n v="1312"/>
        <n v="1564"/>
        <n v="1256"/>
        <n v="1310"/>
        <n v="957"/>
        <n v="2604"/>
        <n v="2542"/>
        <n v="2396"/>
        <n v="2279"/>
        <n v="1317"/>
        <n v="710"/>
        <n v="907"/>
        <n v="2049"/>
        <n v="933"/>
        <n v="1138"/>
        <n v="1735"/>
        <n v="98"/>
        <n v="969"/>
        <n v="2840"/>
        <n v="1207"/>
        <n v="2536"/>
        <n v="664"/>
        <n v="1357"/>
        <n v="896"/>
        <n v="85"/>
        <n v="701"/>
        <n v="2844"/>
        <n v="218"/>
        <n v="2642"/>
        <n v="2380"/>
        <n v="1253"/>
        <n v="1440"/>
        <n v="859"/>
        <n v="2698"/>
        <n v="1352"/>
        <n v="771"/>
        <n v="286"/>
        <n v="2197"/>
        <n v="1944"/>
        <n v="262"/>
        <n v="1869"/>
        <n v="2859"/>
        <n v="1035"/>
        <n v="2691"/>
        <n v="508"/>
        <n v="2926"/>
        <n v="19"/>
        <n v="1380"/>
        <n v="1339"/>
        <n v="1460"/>
        <n v="2695"/>
        <n v="2196"/>
        <n v="2524"/>
        <n v="827"/>
        <n v="1836"/>
        <n v="2496"/>
        <n v="1899"/>
        <n v="776"/>
        <n v="2005"/>
        <n v="2958"/>
        <n v="141"/>
        <n v="2368"/>
        <n v="2680"/>
        <n v="451"/>
        <n v="2398"/>
        <n v="2139"/>
        <n v="1819"/>
        <n v="2486"/>
        <n v="1912"/>
        <n v="2931"/>
        <n v="2971"/>
        <n v="1061"/>
        <n v="2363"/>
        <n v="517"/>
        <n v="505"/>
        <n v="2935"/>
        <n v="88"/>
        <n v="1159"/>
        <n v="2667"/>
        <n v="1940"/>
        <n v="986"/>
        <n v="2675"/>
        <n v="407"/>
        <n v="2207"/>
        <n v="2355"/>
        <n v="702"/>
        <n v="2140"/>
        <n v="881"/>
        <n v="1067"/>
        <n v="1103"/>
        <n v="2472"/>
        <n v="1595"/>
        <n v="1280"/>
        <n v="2018"/>
        <n v="2144"/>
        <n v="463"/>
        <n v="2585"/>
        <n v="1885"/>
        <n v="2015"/>
        <n v="926"/>
        <n v="662"/>
        <n v="1616"/>
        <n v="1409"/>
        <n v="1990"/>
        <n v="157"/>
        <n v="2867"/>
        <n v="1149"/>
        <n v="1246"/>
        <n v="1130"/>
        <n v="404"/>
        <n v="89"/>
        <n v="655"/>
        <n v="2261"/>
        <n v="2504"/>
        <n v="835"/>
        <n v="743"/>
        <n v="1614"/>
        <n v="342"/>
        <n v="2305"/>
        <n v="421"/>
        <n v="603"/>
        <n v="1154"/>
        <n v="1371"/>
        <n v="1511"/>
        <n v="2024"/>
        <n v="11"/>
        <n v="323"/>
        <n v="2959"/>
        <n v="376"/>
        <n v="316"/>
        <n v="797"/>
        <n v="267"/>
        <n v="183"/>
        <n v="798"/>
        <n v="1565"/>
        <n v="1764"/>
        <n v="1488"/>
        <n v="507"/>
        <n v="1429"/>
        <n v="1644"/>
        <n v="2232"/>
        <n v="874"/>
        <n v="1659"/>
        <n v="1216"/>
        <n v="2445"/>
        <n v="768"/>
        <n v="2221"/>
        <n v="1562"/>
        <n v="917"/>
        <n v="648"/>
        <n v="2598"/>
        <n v="1073"/>
        <n v="1042"/>
        <n v="2900"/>
        <n v="2814"/>
        <n v="2442"/>
        <n v="1304"/>
        <n v="2159"/>
        <n v="968"/>
        <n v="2160"/>
        <n v="1416"/>
        <n v="360"/>
        <n v="1080"/>
        <n v="2392"/>
        <n v="53"/>
        <n v="2684"/>
        <n v="1887"/>
        <n v="447"/>
        <n v="2548"/>
        <n v="580"/>
        <n v="39"/>
        <n v="2785"/>
        <n v="1436"/>
        <n v="2121"/>
        <n v="126"/>
        <n v="1121"/>
        <n v="168"/>
        <n v="2704"/>
        <n v="1237"/>
        <n v="817"/>
        <n v="113"/>
        <n v="1608"/>
        <n v="1365"/>
        <n v="2302"/>
        <n v="822"/>
        <n v="2865"/>
        <n v="1240"/>
        <n v="2945"/>
        <n v="2982"/>
        <n v="575"/>
        <n v="320"/>
        <n v="2236"/>
        <n v="243"/>
        <n v="2079"/>
        <n v="2490"/>
        <n v="950"/>
        <n v="1796"/>
        <n v="2689"/>
        <n v="2258"/>
        <n v="1991"/>
        <n v="962"/>
        <n v="244"/>
        <n v="755"/>
        <n v="112"/>
        <n v="350"/>
        <n v="2674"/>
        <n v="36"/>
        <n v="1286"/>
        <n v="2686"/>
        <n v="1337"/>
        <n v="1191"/>
        <n v="2131"/>
        <n v="1285"/>
        <n v="1378"/>
        <n v="1857"/>
        <n v="2310"/>
        <n v="2994"/>
        <n v="2339"/>
        <n v="1077"/>
        <n v="2076"/>
        <n v="2135"/>
        <n v="801"/>
        <n v="877"/>
        <n v="2584"/>
      </sharedItems>
    </cacheField>
    <cacheField name="Preferred_Genre" numFmtId="0">
      <sharedItems count="8">
        <s v="Drama"/>
        <s v="Horror"/>
        <s v="Romance"/>
        <s v="Action"/>
        <s v="Comedy"/>
        <s v="Sports"/>
        <s v="Pop"/>
        <s v="Thriller"/>
      </sharedItems>
    </cacheField>
    <cacheField name="Device_Used" numFmtId="0">
      <sharedItems/>
    </cacheField>
    <cacheField name="Subscription_Status" numFmtId="0">
      <sharedItems count="2">
        <s v="Paid"/>
        <s v="Free"/>
      </sharedItems>
    </cacheField>
    <cacheField name="Social_Influence" numFmtId="0">
      <sharedItems/>
    </cacheField>
    <cacheField name="Satisfaction_Level_1_to_5" numFmtId="0">
      <sharedItems containsSemiMixedTypes="0" containsString="0" containsNumber="1" containsInteger="1" minValue="1" maxValue="5" count="5">
        <n v="3"/>
        <n v="5"/>
        <n v="1"/>
        <n v="2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NIAPPAN M" refreshedDate="46074.9448619213" createdVersion="8" refreshedVersion="8" minRefreshableVersion="3" recordCount="1000" xr:uid="{62AD8868-51E6-427F-84A5-6A4E7BBF3159}">
  <cacheSource type="worksheet">
    <worksheetSource ref="G1:G1001" sheet="Entertainment_Preferences"/>
  </cacheSource>
  <cacheFields count="1">
    <cacheField name="Weekly_Entertainment_Hours" numFmtId="0">
      <sharedItems containsSemiMixedTypes="0" containsString="0" containsNumber="1" containsInteger="1" minValue="5" maxValue="30" count="26">
        <n v="8"/>
        <n v="11"/>
        <n v="27"/>
        <n v="24"/>
        <n v="7"/>
        <n v="16"/>
        <n v="25"/>
        <n v="22"/>
        <n v="9"/>
        <n v="28"/>
        <n v="21"/>
        <n v="15"/>
        <n v="29"/>
        <n v="14"/>
        <n v="12"/>
        <n v="30"/>
        <n v="17"/>
        <n v="6"/>
        <n v="5"/>
        <n v="13"/>
        <n v="18"/>
        <n v="23"/>
        <n v="26"/>
        <n v="20"/>
        <n v="19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x v="0"/>
    <x v="0"/>
    <x v="0"/>
    <x v="0"/>
    <s v="Tablet"/>
    <x v="0"/>
    <s v="Yes"/>
    <x v="0"/>
  </r>
  <r>
    <x v="1"/>
    <x v="1"/>
    <x v="1"/>
    <x v="0"/>
    <x v="1"/>
    <x v="1"/>
    <x v="1"/>
    <x v="1"/>
    <x v="1"/>
    <x v="1"/>
    <s v="Tablet"/>
    <x v="1"/>
    <s v="Yes"/>
    <x v="1"/>
  </r>
  <r>
    <x v="2"/>
    <x v="2"/>
    <x v="2"/>
    <x v="0"/>
    <x v="0"/>
    <x v="2"/>
    <x v="2"/>
    <x v="0"/>
    <x v="2"/>
    <x v="0"/>
    <s v="Tablet"/>
    <x v="0"/>
    <s v="No"/>
    <x v="0"/>
  </r>
  <r>
    <x v="3"/>
    <x v="3"/>
    <x v="1"/>
    <x v="1"/>
    <x v="1"/>
    <x v="3"/>
    <x v="3"/>
    <x v="1"/>
    <x v="3"/>
    <x v="0"/>
    <s v="TV"/>
    <x v="1"/>
    <s v="Yes"/>
    <x v="2"/>
  </r>
  <r>
    <x v="4"/>
    <x v="4"/>
    <x v="2"/>
    <x v="0"/>
    <x v="0"/>
    <x v="3"/>
    <x v="4"/>
    <x v="1"/>
    <x v="4"/>
    <x v="2"/>
    <s v="Tablet"/>
    <x v="1"/>
    <s v="Yes"/>
    <x v="3"/>
  </r>
  <r>
    <x v="5"/>
    <x v="3"/>
    <x v="1"/>
    <x v="2"/>
    <x v="1"/>
    <x v="3"/>
    <x v="5"/>
    <x v="2"/>
    <x v="5"/>
    <x v="1"/>
    <s v="Laptop"/>
    <x v="1"/>
    <s v="No"/>
    <x v="0"/>
  </r>
  <r>
    <x v="6"/>
    <x v="5"/>
    <x v="0"/>
    <x v="2"/>
    <x v="2"/>
    <x v="3"/>
    <x v="6"/>
    <x v="3"/>
    <x v="6"/>
    <x v="3"/>
    <s v="TV"/>
    <x v="1"/>
    <s v="No"/>
    <x v="1"/>
  </r>
  <r>
    <x v="7"/>
    <x v="1"/>
    <x v="0"/>
    <x v="2"/>
    <x v="2"/>
    <x v="4"/>
    <x v="1"/>
    <x v="4"/>
    <x v="7"/>
    <x v="4"/>
    <s v="TV"/>
    <x v="0"/>
    <s v="Yes"/>
    <x v="0"/>
  </r>
  <r>
    <x v="8"/>
    <x v="6"/>
    <x v="2"/>
    <x v="2"/>
    <x v="2"/>
    <x v="2"/>
    <x v="7"/>
    <x v="3"/>
    <x v="8"/>
    <x v="4"/>
    <s v="Tablet"/>
    <x v="0"/>
    <s v="Yes"/>
    <x v="1"/>
  </r>
  <r>
    <x v="9"/>
    <x v="7"/>
    <x v="1"/>
    <x v="1"/>
    <x v="1"/>
    <x v="3"/>
    <x v="8"/>
    <x v="1"/>
    <x v="9"/>
    <x v="5"/>
    <s v="Tablet"/>
    <x v="1"/>
    <s v="Yes"/>
    <x v="3"/>
  </r>
  <r>
    <x v="10"/>
    <x v="8"/>
    <x v="2"/>
    <x v="2"/>
    <x v="2"/>
    <x v="3"/>
    <x v="9"/>
    <x v="5"/>
    <x v="10"/>
    <x v="5"/>
    <s v="Laptop"/>
    <x v="1"/>
    <s v="Yes"/>
    <x v="1"/>
  </r>
  <r>
    <x v="11"/>
    <x v="5"/>
    <x v="0"/>
    <x v="2"/>
    <x v="2"/>
    <x v="0"/>
    <x v="10"/>
    <x v="3"/>
    <x v="11"/>
    <x v="4"/>
    <s v="TV"/>
    <x v="0"/>
    <s v="Yes"/>
    <x v="1"/>
  </r>
  <r>
    <x v="12"/>
    <x v="9"/>
    <x v="0"/>
    <x v="1"/>
    <x v="2"/>
    <x v="1"/>
    <x v="11"/>
    <x v="6"/>
    <x v="12"/>
    <x v="1"/>
    <s v="Mobile"/>
    <x v="0"/>
    <s v="No"/>
    <x v="2"/>
  </r>
  <r>
    <x v="13"/>
    <x v="1"/>
    <x v="0"/>
    <x v="2"/>
    <x v="2"/>
    <x v="5"/>
    <x v="12"/>
    <x v="2"/>
    <x v="13"/>
    <x v="2"/>
    <s v="Tablet"/>
    <x v="0"/>
    <s v="Yes"/>
    <x v="3"/>
  </r>
  <r>
    <x v="14"/>
    <x v="4"/>
    <x v="2"/>
    <x v="2"/>
    <x v="2"/>
    <x v="3"/>
    <x v="13"/>
    <x v="3"/>
    <x v="14"/>
    <x v="1"/>
    <s v="Mobile"/>
    <x v="1"/>
    <s v="Yes"/>
    <x v="0"/>
  </r>
  <r>
    <x v="15"/>
    <x v="10"/>
    <x v="0"/>
    <x v="0"/>
    <x v="0"/>
    <x v="0"/>
    <x v="7"/>
    <x v="6"/>
    <x v="15"/>
    <x v="1"/>
    <s v="Mobile"/>
    <x v="0"/>
    <s v="No"/>
    <x v="1"/>
  </r>
  <r>
    <x v="16"/>
    <x v="1"/>
    <x v="1"/>
    <x v="1"/>
    <x v="0"/>
    <x v="5"/>
    <x v="10"/>
    <x v="2"/>
    <x v="16"/>
    <x v="6"/>
    <s v="Laptop"/>
    <x v="1"/>
    <s v="No"/>
    <x v="0"/>
  </r>
  <r>
    <x v="17"/>
    <x v="11"/>
    <x v="2"/>
    <x v="1"/>
    <x v="2"/>
    <x v="4"/>
    <x v="0"/>
    <x v="6"/>
    <x v="17"/>
    <x v="0"/>
    <s v="Mobile"/>
    <x v="1"/>
    <s v="No"/>
    <x v="4"/>
  </r>
  <r>
    <x v="18"/>
    <x v="7"/>
    <x v="1"/>
    <x v="1"/>
    <x v="0"/>
    <x v="4"/>
    <x v="14"/>
    <x v="2"/>
    <x v="18"/>
    <x v="2"/>
    <s v="Tablet"/>
    <x v="0"/>
    <s v="Yes"/>
    <x v="3"/>
  </r>
  <r>
    <x v="19"/>
    <x v="12"/>
    <x v="0"/>
    <x v="2"/>
    <x v="1"/>
    <x v="3"/>
    <x v="15"/>
    <x v="0"/>
    <x v="19"/>
    <x v="1"/>
    <s v="Laptop"/>
    <x v="1"/>
    <s v="No"/>
    <x v="2"/>
  </r>
  <r>
    <x v="20"/>
    <x v="13"/>
    <x v="0"/>
    <x v="1"/>
    <x v="0"/>
    <x v="4"/>
    <x v="1"/>
    <x v="5"/>
    <x v="20"/>
    <x v="6"/>
    <s v="TV"/>
    <x v="1"/>
    <s v="No"/>
    <x v="2"/>
  </r>
  <r>
    <x v="21"/>
    <x v="14"/>
    <x v="0"/>
    <x v="2"/>
    <x v="1"/>
    <x v="5"/>
    <x v="1"/>
    <x v="6"/>
    <x v="21"/>
    <x v="7"/>
    <s v="Mobile"/>
    <x v="0"/>
    <s v="No"/>
    <x v="3"/>
  </r>
  <r>
    <x v="22"/>
    <x v="15"/>
    <x v="1"/>
    <x v="0"/>
    <x v="0"/>
    <x v="3"/>
    <x v="10"/>
    <x v="0"/>
    <x v="22"/>
    <x v="1"/>
    <s v="Tablet"/>
    <x v="0"/>
    <s v="Yes"/>
    <x v="2"/>
  </r>
  <r>
    <x v="23"/>
    <x v="10"/>
    <x v="0"/>
    <x v="1"/>
    <x v="1"/>
    <x v="5"/>
    <x v="3"/>
    <x v="7"/>
    <x v="23"/>
    <x v="2"/>
    <s v="Laptop"/>
    <x v="1"/>
    <s v="Yes"/>
    <x v="1"/>
  </r>
  <r>
    <x v="24"/>
    <x v="5"/>
    <x v="2"/>
    <x v="1"/>
    <x v="0"/>
    <x v="3"/>
    <x v="16"/>
    <x v="4"/>
    <x v="24"/>
    <x v="0"/>
    <s v="Mobile"/>
    <x v="0"/>
    <s v="No"/>
    <x v="0"/>
  </r>
  <r>
    <x v="25"/>
    <x v="14"/>
    <x v="2"/>
    <x v="1"/>
    <x v="0"/>
    <x v="4"/>
    <x v="5"/>
    <x v="5"/>
    <x v="25"/>
    <x v="3"/>
    <s v="TV"/>
    <x v="0"/>
    <s v="Yes"/>
    <x v="3"/>
  </r>
  <r>
    <x v="26"/>
    <x v="5"/>
    <x v="0"/>
    <x v="1"/>
    <x v="2"/>
    <x v="5"/>
    <x v="0"/>
    <x v="3"/>
    <x v="26"/>
    <x v="7"/>
    <s v="Laptop"/>
    <x v="1"/>
    <s v="No"/>
    <x v="1"/>
  </r>
  <r>
    <x v="27"/>
    <x v="5"/>
    <x v="2"/>
    <x v="0"/>
    <x v="0"/>
    <x v="2"/>
    <x v="17"/>
    <x v="2"/>
    <x v="27"/>
    <x v="2"/>
    <s v="Laptop"/>
    <x v="1"/>
    <s v="No"/>
    <x v="4"/>
  </r>
  <r>
    <x v="28"/>
    <x v="6"/>
    <x v="1"/>
    <x v="0"/>
    <x v="1"/>
    <x v="3"/>
    <x v="18"/>
    <x v="7"/>
    <x v="28"/>
    <x v="4"/>
    <s v="Tablet"/>
    <x v="0"/>
    <s v="Yes"/>
    <x v="2"/>
  </r>
  <r>
    <x v="29"/>
    <x v="16"/>
    <x v="0"/>
    <x v="2"/>
    <x v="0"/>
    <x v="0"/>
    <x v="5"/>
    <x v="0"/>
    <x v="29"/>
    <x v="7"/>
    <s v="Tablet"/>
    <x v="0"/>
    <s v="Yes"/>
    <x v="0"/>
  </r>
  <r>
    <x v="30"/>
    <x v="2"/>
    <x v="0"/>
    <x v="0"/>
    <x v="1"/>
    <x v="2"/>
    <x v="15"/>
    <x v="1"/>
    <x v="30"/>
    <x v="1"/>
    <s v="TV"/>
    <x v="0"/>
    <s v="Yes"/>
    <x v="4"/>
  </r>
  <r>
    <x v="31"/>
    <x v="17"/>
    <x v="0"/>
    <x v="1"/>
    <x v="2"/>
    <x v="2"/>
    <x v="17"/>
    <x v="3"/>
    <x v="31"/>
    <x v="1"/>
    <s v="Mobile"/>
    <x v="0"/>
    <s v="No"/>
    <x v="3"/>
  </r>
  <r>
    <x v="32"/>
    <x v="18"/>
    <x v="2"/>
    <x v="2"/>
    <x v="1"/>
    <x v="4"/>
    <x v="19"/>
    <x v="7"/>
    <x v="32"/>
    <x v="3"/>
    <s v="Mobile"/>
    <x v="1"/>
    <s v="Yes"/>
    <x v="0"/>
  </r>
  <r>
    <x v="33"/>
    <x v="10"/>
    <x v="1"/>
    <x v="1"/>
    <x v="2"/>
    <x v="0"/>
    <x v="19"/>
    <x v="7"/>
    <x v="33"/>
    <x v="5"/>
    <s v="Mobile"/>
    <x v="1"/>
    <s v="Yes"/>
    <x v="2"/>
  </r>
  <r>
    <x v="34"/>
    <x v="5"/>
    <x v="0"/>
    <x v="2"/>
    <x v="1"/>
    <x v="0"/>
    <x v="17"/>
    <x v="3"/>
    <x v="34"/>
    <x v="7"/>
    <s v="Tablet"/>
    <x v="0"/>
    <s v="No"/>
    <x v="4"/>
  </r>
  <r>
    <x v="35"/>
    <x v="9"/>
    <x v="1"/>
    <x v="1"/>
    <x v="1"/>
    <x v="2"/>
    <x v="11"/>
    <x v="1"/>
    <x v="35"/>
    <x v="7"/>
    <s v="Tablet"/>
    <x v="1"/>
    <s v="Yes"/>
    <x v="2"/>
  </r>
  <r>
    <x v="36"/>
    <x v="11"/>
    <x v="1"/>
    <x v="2"/>
    <x v="0"/>
    <x v="5"/>
    <x v="20"/>
    <x v="5"/>
    <x v="36"/>
    <x v="5"/>
    <s v="Mobile"/>
    <x v="1"/>
    <s v="No"/>
    <x v="4"/>
  </r>
  <r>
    <x v="37"/>
    <x v="11"/>
    <x v="1"/>
    <x v="1"/>
    <x v="2"/>
    <x v="4"/>
    <x v="20"/>
    <x v="4"/>
    <x v="37"/>
    <x v="1"/>
    <s v="Tablet"/>
    <x v="0"/>
    <s v="Yes"/>
    <x v="1"/>
  </r>
  <r>
    <x v="38"/>
    <x v="16"/>
    <x v="2"/>
    <x v="0"/>
    <x v="0"/>
    <x v="0"/>
    <x v="10"/>
    <x v="5"/>
    <x v="38"/>
    <x v="1"/>
    <s v="Laptop"/>
    <x v="0"/>
    <s v="Yes"/>
    <x v="1"/>
  </r>
  <r>
    <x v="39"/>
    <x v="19"/>
    <x v="0"/>
    <x v="1"/>
    <x v="2"/>
    <x v="0"/>
    <x v="14"/>
    <x v="3"/>
    <x v="39"/>
    <x v="5"/>
    <s v="Tablet"/>
    <x v="1"/>
    <s v="Yes"/>
    <x v="1"/>
  </r>
  <r>
    <x v="40"/>
    <x v="14"/>
    <x v="0"/>
    <x v="1"/>
    <x v="0"/>
    <x v="1"/>
    <x v="6"/>
    <x v="4"/>
    <x v="40"/>
    <x v="3"/>
    <s v="Laptop"/>
    <x v="0"/>
    <s v="No"/>
    <x v="2"/>
  </r>
  <r>
    <x v="41"/>
    <x v="14"/>
    <x v="1"/>
    <x v="2"/>
    <x v="2"/>
    <x v="4"/>
    <x v="15"/>
    <x v="1"/>
    <x v="41"/>
    <x v="6"/>
    <s v="Laptop"/>
    <x v="1"/>
    <s v="No"/>
    <x v="1"/>
  </r>
  <r>
    <x v="42"/>
    <x v="5"/>
    <x v="1"/>
    <x v="1"/>
    <x v="1"/>
    <x v="1"/>
    <x v="12"/>
    <x v="5"/>
    <x v="42"/>
    <x v="6"/>
    <s v="Mobile"/>
    <x v="1"/>
    <s v="Yes"/>
    <x v="0"/>
  </r>
  <r>
    <x v="43"/>
    <x v="5"/>
    <x v="0"/>
    <x v="0"/>
    <x v="0"/>
    <x v="1"/>
    <x v="11"/>
    <x v="1"/>
    <x v="43"/>
    <x v="4"/>
    <s v="Laptop"/>
    <x v="0"/>
    <s v="No"/>
    <x v="1"/>
  </r>
  <r>
    <x v="44"/>
    <x v="20"/>
    <x v="2"/>
    <x v="0"/>
    <x v="0"/>
    <x v="4"/>
    <x v="11"/>
    <x v="1"/>
    <x v="44"/>
    <x v="3"/>
    <s v="Tablet"/>
    <x v="1"/>
    <s v="Yes"/>
    <x v="4"/>
  </r>
  <r>
    <x v="45"/>
    <x v="3"/>
    <x v="1"/>
    <x v="2"/>
    <x v="1"/>
    <x v="5"/>
    <x v="13"/>
    <x v="3"/>
    <x v="45"/>
    <x v="6"/>
    <s v="Laptop"/>
    <x v="1"/>
    <s v="No"/>
    <x v="4"/>
  </r>
  <r>
    <x v="46"/>
    <x v="13"/>
    <x v="1"/>
    <x v="2"/>
    <x v="2"/>
    <x v="0"/>
    <x v="18"/>
    <x v="2"/>
    <x v="46"/>
    <x v="6"/>
    <s v="Laptop"/>
    <x v="0"/>
    <s v="No"/>
    <x v="0"/>
  </r>
  <r>
    <x v="47"/>
    <x v="10"/>
    <x v="0"/>
    <x v="2"/>
    <x v="2"/>
    <x v="1"/>
    <x v="21"/>
    <x v="4"/>
    <x v="47"/>
    <x v="4"/>
    <s v="Mobile"/>
    <x v="1"/>
    <s v="No"/>
    <x v="2"/>
  </r>
  <r>
    <x v="48"/>
    <x v="18"/>
    <x v="2"/>
    <x v="1"/>
    <x v="2"/>
    <x v="4"/>
    <x v="1"/>
    <x v="5"/>
    <x v="48"/>
    <x v="0"/>
    <s v="Tablet"/>
    <x v="0"/>
    <s v="Yes"/>
    <x v="0"/>
  </r>
  <r>
    <x v="49"/>
    <x v="3"/>
    <x v="1"/>
    <x v="0"/>
    <x v="0"/>
    <x v="1"/>
    <x v="14"/>
    <x v="3"/>
    <x v="49"/>
    <x v="3"/>
    <s v="Laptop"/>
    <x v="0"/>
    <s v="Yes"/>
    <x v="2"/>
  </r>
  <r>
    <x v="50"/>
    <x v="13"/>
    <x v="0"/>
    <x v="1"/>
    <x v="1"/>
    <x v="2"/>
    <x v="22"/>
    <x v="7"/>
    <x v="50"/>
    <x v="4"/>
    <s v="Mobile"/>
    <x v="0"/>
    <s v="No"/>
    <x v="1"/>
  </r>
  <r>
    <x v="51"/>
    <x v="7"/>
    <x v="1"/>
    <x v="2"/>
    <x v="2"/>
    <x v="4"/>
    <x v="21"/>
    <x v="3"/>
    <x v="51"/>
    <x v="0"/>
    <s v="Laptop"/>
    <x v="0"/>
    <s v="No"/>
    <x v="0"/>
  </r>
  <r>
    <x v="52"/>
    <x v="8"/>
    <x v="0"/>
    <x v="1"/>
    <x v="1"/>
    <x v="4"/>
    <x v="3"/>
    <x v="7"/>
    <x v="52"/>
    <x v="0"/>
    <s v="TV"/>
    <x v="0"/>
    <s v="No"/>
    <x v="1"/>
  </r>
  <r>
    <x v="53"/>
    <x v="13"/>
    <x v="1"/>
    <x v="1"/>
    <x v="1"/>
    <x v="1"/>
    <x v="0"/>
    <x v="1"/>
    <x v="53"/>
    <x v="4"/>
    <s v="TV"/>
    <x v="1"/>
    <s v="No"/>
    <x v="0"/>
  </r>
  <r>
    <x v="54"/>
    <x v="20"/>
    <x v="2"/>
    <x v="0"/>
    <x v="0"/>
    <x v="2"/>
    <x v="9"/>
    <x v="4"/>
    <x v="54"/>
    <x v="1"/>
    <s v="Tablet"/>
    <x v="1"/>
    <s v="No"/>
    <x v="0"/>
  </r>
  <r>
    <x v="55"/>
    <x v="21"/>
    <x v="2"/>
    <x v="0"/>
    <x v="2"/>
    <x v="2"/>
    <x v="23"/>
    <x v="7"/>
    <x v="55"/>
    <x v="2"/>
    <s v="TV"/>
    <x v="0"/>
    <s v="Yes"/>
    <x v="3"/>
  </r>
  <r>
    <x v="56"/>
    <x v="1"/>
    <x v="2"/>
    <x v="2"/>
    <x v="0"/>
    <x v="0"/>
    <x v="14"/>
    <x v="4"/>
    <x v="56"/>
    <x v="6"/>
    <s v="Tablet"/>
    <x v="0"/>
    <s v="Yes"/>
    <x v="4"/>
  </r>
  <r>
    <x v="57"/>
    <x v="16"/>
    <x v="2"/>
    <x v="2"/>
    <x v="1"/>
    <x v="2"/>
    <x v="14"/>
    <x v="4"/>
    <x v="57"/>
    <x v="7"/>
    <s v="Tablet"/>
    <x v="1"/>
    <s v="No"/>
    <x v="3"/>
  </r>
  <r>
    <x v="58"/>
    <x v="4"/>
    <x v="2"/>
    <x v="0"/>
    <x v="0"/>
    <x v="0"/>
    <x v="24"/>
    <x v="3"/>
    <x v="58"/>
    <x v="7"/>
    <s v="Mobile"/>
    <x v="0"/>
    <s v="Yes"/>
    <x v="0"/>
  </r>
  <r>
    <x v="59"/>
    <x v="11"/>
    <x v="1"/>
    <x v="2"/>
    <x v="1"/>
    <x v="5"/>
    <x v="9"/>
    <x v="5"/>
    <x v="59"/>
    <x v="0"/>
    <s v="Laptop"/>
    <x v="1"/>
    <s v="Yes"/>
    <x v="0"/>
  </r>
  <r>
    <x v="60"/>
    <x v="3"/>
    <x v="1"/>
    <x v="2"/>
    <x v="0"/>
    <x v="2"/>
    <x v="25"/>
    <x v="6"/>
    <x v="60"/>
    <x v="3"/>
    <s v="TV"/>
    <x v="0"/>
    <s v="No"/>
    <x v="2"/>
  </r>
  <r>
    <x v="61"/>
    <x v="7"/>
    <x v="2"/>
    <x v="1"/>
    <x v="2"/>
    <x v="2"/>
    <x v="18"/>
    <x v="2"/>
    <x v="61"/>
    <x v="3"/>
    <s v="TV"/>
    <x v="1"/>
    <s v="Yes"/>
    <x v="0"/>
  </r>
  <r>
    <x v="62"/>
    <x v="1"/>
    <x v="1"/>
    <x v="2"/>
    <x v="1"/>
    <x v="3"/>
    <x v="16"/>
    <x v="2"/>
    <x v="62"/>
    <x v="4"/>
    <s v="TV"/>
    <x v="0"/>
    <s v="Yes"/>
    <x v="2"/>
  </r>
  <r>
    <x v="63"/>
    <x v="7"/>
    <x v="1"/>
    <x v="2"/>
    <x v="0"/>
    <x v="5"/>
    <x v="7"/>
    <x v="1"/>
    <x v="63"/>
    <x v="6"/>
    <s v="Tablet"/>
    <x v="1"/>
    <s v="No"/>
    <x v="1"/>
  </r>
  <r>
    <x v="64"/>
    <x v="16"/>
    <x v="1"/>
    <x v="2"/>
    <x v="0"/>
    <x v="1"/>
    <x v="21"/>
    <x v="3"/>
    <x v="64"/>
    <x v="2"/>
    <s v="Mobile"/>
    <x v="0"/>
    <s v="Yes"/>
    <x v="2"/>
  </r>
  <r>
    <x v="65"/>
    <x v="2"/>
    <x v="0"/>
    <x v="1"/>
    <x v="2"/>
    <x v="0"/>
    <x v="7"/>
    <x v="4"/>
    <x v="65"/>
    <x v="2"/>
    <s v="Mobile"/>
    <x v="0"/>
    <s v="No"/>
    <x v="3"/>
  </r>
  <r>
    <x v="66"/>
    <x v="4"/>
    <x v="0"/>
    <x v="2"/>
    <x v="0"/>
    <x v="2"/>
    <x v="13"/>
    <x v="3"/>
    <x v="66"/>
    <x v="5"/>
    <s v="Mobile"/>
    <x v="0"/>
    <s v="Yes"/>
    <x v="4"/>
  </r>
  <r>
    <x v="67"/>
    <x v="5"/>
    <x v="0"/>
    <x v="1"/>
    <x v="1"/>
    <x v="0"/>
    <x v="8"/>
    <x v="5"/>
    <x v="67"/>
    <x v="6"/>
    <s v="Mobile"/>
    <x v="1"/>
    <s v="No"/>
    <x v="2"/>
  </r>
  <r>
    <x v="68"/>
    <x v="4"/>
    <x v="1"/>
    <x v="1"/>
    <x v="2"/>
    <x v="3"/>
    <x v="16"/>
    <x v="6"/>
    <x v="68"/>
    <x v="5"/>
    <s v="TV"/>
    <x v="1"/>
    <s v="Yes"/>
    <x v="1"/>
  </r>
  <r>
    <x v="69"/>
    <x v="1"/>
    <x v="1"/>
    <x v="0"/>
    <x v="1"/>
    <x v="2"/>
    <x v="14"/>
    <x v="6"/>
    <x v="69"/>
    <x v="4"/>
    <s v="Tablet"/>
    <x v="1"/>
    <s v="No"/>
    <x v="1"/>
  </r>
  <r>
    <x v="70"/>
    <x v="2"/>
    <x v="0"/>
    <x v="1"/>
    <x v="2"/>
    <x v="4"/>
    <x v="21"/>
    <x v="7"/>
    <x v="70"/>
    <x v="7"/>
    <s v="Mobile"/>
    <x v="0"/>
    <s v="No"/>
    <x v="4"/>
  </r>
  <r>
    <x v="71"/>
    <x v="20"/>
    <x v="1"/>
    <x v="1"/>
    <x v="1"/>
    <x v="3"/>
    <x v="2"/>
    <x v="4"/>
    <x v="71"/>
    <x v="0"/>
    <s v="TV"/>
    <x v="1"/>
    <s v="No"/>
    <x v="0"/>
  </r>
  <r>
    <x v="72"/>
    <x v="7"/>
    <x v="0"/>
    <x v="2"/>
    <x v="1"/>
    <x v="4"/>
    <x v="12"/>
    <x v="1"/>
    <x v="72"/>
    <x v="3"/>
    <s v="Laptop"/>
    <x v="1"/>
    <s v="No"/>
    <x v="1"/>
  </r>
  <r>
    <x v="73"/>
    <x v="0"/>
    <x v="2"/>
    <x v="2"/>
    <x v="0"/>
    <x v="2"/>
    <x v="24"/>
    <x v="4"/>
    <x v="73"/>
    <x v="6"/>
    <s v="Mobile"/>
    <x v="0"/>
    <s v="Yes"/>
    <x v="3"/>
  </r>
  <r>
    <x v="74"/>
    <x v="4"/>
    <x v="0"/>
    <x v="2"/>
    <x v="2"/>
    <x v="3"/>
    <x v="25"/>
    <x v="3"/>
    <x v="74"/>
    <x v="0"/>
    <s v="Tablet"/>
    <x v="0"/>
    <s v="Yes"/>
    <x v="1"/>
  </r>
  <r>
    <x v="75"/>
    <x v="13"/>
    <x v="1"/>
    <x v="1"/>
    <x v="2"/>
    <x v="4"/>
    <x v="2"/>
    <x v="4"/>
    <x v="75"/>
    <x v="1"/>
    <s v="Tablet"/>
    <x v="0"/>
    <s v="No"/>
    <x v="1"/>
  </r>
  <r>
    <x v="76"/>
    <x v="11"/>
    <x v="0"/>
    <x v="1"/>
    <x v="2"/>
    <x v="2"/>
    <x v="3"/>
    <x v="5"/>
    <x v="76"/>
    <x v="3"/>
    <s v="TV"/>
    <x v="1"/>
    <s v="No"/>
    <x v="3"/>
  </r>
  <r>
    <x v="77"/>
    <x v="14"/>
    <x v="2"/>
    <x v="1"/>
    <x v="1"/>
    <x v="5"/>
    <x v="24"/>
    <x v="1"/>
    <x v="77"/>
    <x v="6"/>
    <s v="TV"/>
    <x v="0"/>
    <s v="Yes"/>
    <x v="4"/>
  </r>
  <r>
    <x v="78"/>
    <x v="10"/>
    <x v="0"/>
    <x v="1"/>
    <x v="1"/>
    <x v="4"/>
    <x v="16"/>
    <x v="1"/>
    <x v="78"/>
    <x v="5"/>
    <s v="Laptop"/>
    <x v="1"/>
    <s v="Yes"/>
    <x v="4"/>
  </r>
  <r>
    <x v="79"/>
    <x v="14"/>
    <x v="0"/>
    <x v="1"/>
    <x v="0"/>
    <x v="5"/>
    <x v="10"/>
    <x v="4"/>
    <x v="79"/>
    <x v="3"/>
    <s v="Laptop"/>
    <x v="1"/>
    <s v="Yes"/>
    <x v="0"/>
  </r>
  <r>
    <x v="80"/>
    <x v="1"/>
    <x v="1"/>
    <x v="2"/>
    <x v="2"/>
    <x v="0"/>
    <x v="23"/>
    <x v="0"/>
    <x v="80"/>
    <x v="7"/>
    <s v="Tablet"/>
    <x v="1"/>
    <s v="No"/>
    <x v="0"/>
  </r>
  <r>
    <x v="81"/>
    <x v="6"/>
    <x v="0"/>
    <x v="2"/>
    <x v="1"/>
    <x v="2"/>
    <x v="17"/>
    <x v="3"/>
    <x v="81"/>
    <x v="0"/>
    <s v="Tablet"/>
    <x v="0"/>
    <s v="Yes"/>
    <x v="2"/>
  </r>
  <r>
    <x v="82"/>
    <x v="12"/>
    <x v="0"/>
    <x v="0"/>
    <x v="2"/>
    <x v="3"/>
    <x v="25"/>
    <x v="5"/>
    <x v="82"/>
    <x v="7"/>
    <s v="TV"/>
    <x v="1"/>
    <s v="Yes"/>
    <x v="0"/>
  </r>
  <r>
    <x v="83"/>
    <x v="22"/>
    <x v="1"/>
    <x v="0"/>
    <x v="0"/>
    <x v="1"/>
    <x v="10"/>
    <x v="0"/>
    <x v="83"/>
    <x v="5"/>
    <s v="Laptop"/>
    <x v="1"/>
    <s v="Yes"/>
    <x v="1"/>
  </r>
  <r>
    <x v="84"/>
    <x v="22"/>
    <x v="2"/>
    <x v="1"/>
    <x v="1"/>
    <x v="3"/>
    <x v="24"/>
    <x v="4"/>
    <x v="84"/>
    <x v="2"/>
    <s v="Laptop"/>
    <x v="0"/>
    <s v="No"/>
    <x v="0"/>
  </r>
  <r>
    <x v="85"/>
    <x v="3"/>
    <x v="1"/>
    <x v="1"/>
    <x v="2"/>
    <x v="2"/>
    <x v="21"/>
    <x v="3"/>
    <x v="85"/>
    <x v="5"/>
    <s v="Tablet"/>
    <x v="0"/>
    <s v="Yes"/>
    <x v="4"/>
  </r>
  <r>
    <x v="86"/>
    <x v="17"/>
    <x v="2"/>
    <x v="2"/>
    <x v="2"/>
    <x v="3"/>
    <x v="21"/>
    <x v="1"/>
    <x v="86"/>
    <x v="2"/>
    <s v="Mobile"/>
    <x v="0"/>
    <s v="No"/>
    <x v="1"/>
  </r>
  <r>
    <x v="87"/>
    <x v="16"/>
    <x v="2"/>
    <x v="0"/>
    <x v="1"/>
    <x v="1"/>
    <x v="12"/>
    <x v="5"/>
    <x v="15"/>
    <x v="4"/>
    <s v="Mobile"/>
    <x v="0"/>
    <s v="No"/>
    <x v="1"/>
  </r>
  <r>
    <x v="88"/>
    <x v="12"/>
    <x v="1"/>
    <x v="0"/>
    <x v="0"/>
    <x v="2"/>
    <x v="17"/>
    <x v="7"/>
    <x v="87"/>
    <x v="5"/>
    <s v="Laptop"/>
    <x v="0"/>
    <s v="Yes"/>
    <x v="0"/>
  </r>
  <r>
    <x v="89"/>
    <x v="6"/>
    <x v="2"/>
    <x v="0"/>
    <x v="2"/>
    <x v="4"/>
    <x v="5"/>
    <x v="5"/>
    <x v="88"/>
    <x v="7"/>
    <s v="Mobile"/>
    <x v="1"/>
    <s v="Yes"/>
    <x v="1"/>
  </r>
  <r>
    <x v="90"/>
    <x v="14"/>
    <x v="1"/>
    <x v="1"/>
    <x v="0"/>
    <x v="4"/>
    <x v="12"/>
    <x v="6"/>
    <x v="89"/>
    <x v="2"/>
    <s v="Mobile"/>
    <x v="1"/>
    <s v="No"/>
    <x v="4"/>
  </r>
  <r>
    <x v="91"/>
    <x v="8"/>
    <x v="1"/>
    <x v="1"/>
    <x v="1"/>
    <x v="2"/>
    <x v="9"/>
    <x v="0"/>
    <x v="90"/>
    <x v="1"/>
    <s v="Tablet"/>
    <x v="0"/>
    <s v="No"/>
    <x v="0"/>
  </r>
  <r>
    <x v="92"/>
    <x v="9"/>
    <x v="1"/>
    <x v="1"/>
    <x v="1"/>
    <x v="2"/>
    <x v="14"/>
    <x v="1"/>
    <x v="91"/>
    <x v="0"/>
    <s v="Laptop"/>
    <x v="0"/>
    <s v="Yes"/>
    <x v="2"/>
  </r>
  <r>
    <x v="93"/>
    <x v="16"/>
    <x v="0"/>
    <x v="2"/>
    <x v="0"/>
    <x v="4"/>
    <x v="23"/>
    <x v="4"/>
    <x v="92"/>
    <x v="7"/>
    <s v="Tablet"/>
    <x v="0"/>
    <s v="No"/>
    <x v="2"/>
  </r>
  <r>
    <x v="94"/>
    <x v="0"/>
    <x v="2"/>
    <x v="1"/>
    <x v="0"/>
    <x v="0"/>
    <x v="0"/>
    <x v="7"/>
    <x v="93"/>
    <x v="1"/>
    <s v="Tablet"/>
    <x v="1"/>
    <s v="Yes"/>
    <x v="1"/>
  </r>
  <r>
    <x v="95"/>
    <x v="3"/>
    <x v="1"/>
    <x v="2"/>
    <x v="2"/>
    <x v="3"/>
    <x v="0"/>
    <x v="1"/>
    <x v="94"/>
    <x v="2"/>
    <s v="Laptop"/>
    <x v="0"/>
    <s v="No"/>
    <x v="0"/>
  </r>
  <r>
    <x v="96"/>
    <x v="1"/>
    <x v="0"/>
    <x v="0"/>
    <x v="2"/>
    <x v="1"/>
    <x v="22"/>
    <x v="2"/>
    <x v="95"/>
    <x v="1"/>
    <s v="Mobile"/>
    <x v="0"/>
    <s v="Yes"/>
    <x v="1"/>
  </r>
  <r>
    <x v="97"/>
    <x v="22"/>
    <x v="0"/>
    <x v="1"/>
    <x v="0"/>
    <x v="1"/>
    <x v="11"/>
    <x v="5"/>
    <x v="96"/>
    <x v="4"/>
    <s v="Mobile"/>
    <x v="0"/>
    <s v="Yes"/>
    <x v="1"/>
  </r>
  <r>
    <x v="98"/>
    <x v="21"/>
    <x v="2"/>
    <x v="0"/>
    <x v="0"/>
    <x v="2"/>
    <x v="5"/>
    <x v="6"/>
    <x v="16"/>
    <x v="4"/>
    <s v="Tablet"/>
    <x v="0"/>
    <s v="Yes"/>
    <x v="1"/>
  </r>
  <r>
    <x v="99"/>
    <x v="13"/>
    <x v="1"/>
    <x v="0"/>
    <x v="2"/>
    <x v="5"/>
    <x v="24"/>
    <x v="3"/>
    <x v="97"/>
    <x v="3"/>
    <s v="TV"/>
    <x v="1"/>
    <s v="Yes"/>
    <x v="1"/>
  </r>
  <r>
    <x v="100"/>
    <x v="19"/>
    <x v="1"/>
    <x v="0"/>
    <x v="2"/>
    <x v="0"/>
    <x v="23"/>
    <x v="4"/>
    <x v="98"/>
    <x v="0"/>
    <s v="Mobile"/>
    <x v="1"/>
    <s v="Yes"/>
    <x v="4"/>
  </r>
  <r>
    <x v="101"/>
    <x v="1"/>
    <x v="1"/>
    <x v="2"/>
    <x v="1"/>
    <x v="0"/>
    <x v="8"/>
    <x v="7"/>
    <x v="99"/>
    <x v="5"/>
    <s v="TV"/>
    <x v="1"/>
    <s v="No"/>
    <x v="1"/>
  </r>
  <r>
    <x v="102"/>
    <x v="7"/>
    <x v="1"/>
    <x v="2"/>
    <x v="1"/>
    <x v="0"/>
    <x v="15"/>
    <x v="3"/>
    <x v="100"/>
    <x v="5"/>
    <s v="Tablet"/>
    <x v="0"/>
    <s v="No"/>
    <x v="2"/>
  </r>
  <r>
    <x v="103"/>
    <x v="18"/>
    <x v="1"/>
    <x v="0"/>
    <x v="2"/>
    <x v="4"/>
    <x v="24"/>
    <x v="7"/>
    <x v="101"/>
    <x v="2"/>
    <s v="TV"/>
    <x v="0"/>
    <s v="No"/>
    <x v="4"/>
  </r>
  <r>
    <x v="104"/>
    <x v="1"/>
    <x v="2"/>
    <x v="0"/>
    <x v="1"/>
    <x v="0"/>
    <x v="4"/>
    <x v="7"/>
    <x v="102"/>
    <x v="4"/>
    <s v="Mobile"/>
    <x v="1"/>
    <s v="Yes"/>
    <x v="2"/>
  </r>
  <r>
    <x v="105"/>
    <x v="20"/>
    <x v="1"/>
    <x v="0"/>
    <x v="2"/>
    <x v="5"/>
    <x v="5"/>
    <x v="5"/>
    <x v="103"/>
    <x v="7"/>
    <s v="Mobile"/>
    <x v="0"/>
    <s v="Yes"/>
    <x v="4"/>
  </r>
  <r>
    <x v="106"/>
    <x v="8"/>
    <x v="2"/>
    <x v="2"/>
    <x v="2"/>
    <x v="3"/>
    <x v="23"/>
    <x v="5"/>
    <x v="104"/>
    <x v="1"/>
    <s v="Tablet"/>
    <x v="0"/>
    <s v="No"/>
    <x v="2"/>
  </r>
  <r>
    <x v="107"/>
    <x v="21"/>
    <x v="2"/>
    <x v="1"/>
    <x v="0"/>
    <x v="1"/>
    <x v="25"/>
    <x v="2"/>
    <x v="105"/>
    <x v="5"/>
    <s v="Mobile"/>
    <x v="0"/>
    <s v="Yes"/>
    <x v="0"/>
  </r>
  <r>
    <x v="108"/>
    <x v="1"/>
    <x v="2"/>
    <x v="1"/>
    <x v="2"/>
    <x v="2"/>
    <x v="9"/>
    <x v="2"/>
    <x v="106"/>
    <x v="7"/>
    <s v="TV"/>
    <x v="1"/>
    <s v="Yes"/>
    <x v="3"/>
  </r>
  <r>
    <x v="109"/>
    <x v="19"/>
    <x v="0"/>
    <x v="2"/>
    <x v="0"/>
    <x v="2"/>
    <x v="8"/>
    <x v="4"/>
    <x v="22"/>
    <x v="5"/>
    <s v="Tablet"/>
    <x v="1"/>
    <s v="No"/>
    <x v="1"/>
  </r>
  <r>
    <x v="110"/>
    <x v="5"/>
    <x v="2"/>
    <x v="1"/>
    <x v="0"/>
    <x v="2"/>
    <x v="1"/>
    <x v="4"/>
    <x v="107"/>
    <x v="2"/>
    <s v="Mobile"/>
    <x v="0"/>
    <s v="No"/>
    <x v="2"/>
  </r>
  <r>
    <x v="111"/>
    <x v="9"/>
    <x v="2"/>
    <x v="0"/>
    <x v="0"/>
    <x v="2"/>
    <x v="17"/>
    <x v="5"/>
    <x v="108"/>
    <x v="7"/>
    <s v="Mobile"/>
    <x v="0"/>
    <s v="No"/>
    <x v="3"/>
  </r>
  <r>
    <x v="112"/>
    <x v="20"/>
    <x v="1"/>
    <x v="2"/>
    <x v="0"/>
    <x v="5"/>
    <x v="25"/>
    <x v="7"/>
    <x v="109"/>
    <x v="0"/>
    <s v="Tablet"/>
    <x v="0"/>
    <s v="No"/>
    <x v="4"/>
  </r>
  <r>
    <x v="113"/>
    <x v="21"/>
    <x v="1"/>
    <x v="1"/>
    <x v="1"/>
    <x v="4"/>
    <x v="24"/>
    <x v="1"/>
    <x v="110"/>
    <x v="2"/>
    <s v="Mobile"/>
    <x v="1"/>
    <s v="Yes"/>
    <x v="0"/>
  </r>
  <r>
    <x v="114"/>
    <x v="18"/>
    <x v="1"/>
    <x v="1"/>
    <x v="0"/>
    <x v="4"/>
    <x v="25"/>
    <x v="0"/>
    <x v="111"/>
    <x v="1"/>
    <s v="Tablet"/>
    <x v="1"/>
    <s v="Yes"/>
    <x v="4"/>
  </r>
  <r>
    <x v="115"/>
    <x v="17"/>
    <x v="2"/>
    <x v="0"/>
    <x v="0"/>
    <x v="5"/>
    <x v="13"/>
    <x v="0"/>
    <x v="112"/>
    <x v="1"/>
    <s v="TV"/>
    <x v="1"/>
    <s v="Yes"/>
    <x v="3"/>
  </r>
  <r>
    <x v="116"/>
    <x v="22"/>
    <x v="0"/>
    <x v="0"/>
    <x v="1"/>
    <x v="1"/>
    <x v="0"/>
    <x v="0"/>
    <x v="113"/>
    <x v="4"/>
    <s v="Tablet"/>
    <x v="1"/>
    <s v="No"/>
    <x v="0"/>
  </r>
  <r>
    <x v="117"/>
    <x v="8"/>
    <x v="2"/>
    <x v="2"/>
    <x v="2"/>
    <x v="1"/>
    <x v="21"/>
    <x v="4"/>
    <x v="114"/>
    <x v="0"/>
    <s v="Tablet"/>
    <x v="1"/>
    <s v="No"/>
    <x v="1"/>
  </r>
  <r>
    <x v="118"/>
    <x v="5"/>
    <x v="1"/>
    <x v="0"/>
    <x v="2"/>
    <x v="4"/>
    <x v="21"/>
    <x v="4"/>
    <x v="115"/>
    <x v="3"/>
    <s v="Mobile"/>
    <x v="1"/>
    <s v="No"/>
    <x v="0"/>
  </r>
  <r>
    <x v="119"/>
    <x v="1"/>
    <x v="1"/>
    <x v="2"/>
    <x v="2"/>
    <x v="4"/>
    <x v="6"/>
    <x v="6"/>
    <x v="116"/>
    <x v="6"/>
    <s v="Laptop"/>
    <x v="1"/>
    <s v="No"/>
    <x v="1"/>
  </r>
  <r>
    <x v="120"/>
    <x v="15"/>
    <x v="0"/>
    <x v="1"/>
    <x v="1"/>
    <x v="3"/>
    <x v="8"/>
    <x v="2"/>
    <x v="117"/>
    <x v="3"/>
    <s v="Laptop"/>
    <x v="1"/>
    <s v="No"/>
    <x v="4"/>
  </r>
  <r>
    <x v="121"/>
    <x v="15"/>
    <x v="2"/>
    <x v="1"/>
    <x v="2"/>
    <x v="4"/>
    <x v="10"/>
    <x v="1"/>
    <x v="118"/>
    <x v="7"/>
    <s v="Mobile"/>
    <x v="1"/>
    <s v="Yes"/>
    <x v="3"/>
  </r>
  <r>
    <x v="122"/>
    <x v="18"/>
    <x v="2"/>
    <x v="1"/>
    <x v="1"/>
    <x v="0"/>
    <x v="0"/>
    <x v="2"/>
    <x v="119"/>
    <x v="7"/>
    <s v="Mobile"/>
    <x v="0"/>
    <s v="No"/>
    <x v="4"/>
  </r>
  <r>
    <x v="123"/>
    <x v="16"/>
    <x v="0"/>
    <x v="2"/>
    <x v="1"/>
    <x v="3"/>
    <x v="6"/>
    <x v="5"/>
    <x v="120"/>
    <x v="5"/>
    <s v="TV"/>
    <x v="0"/>
    <s v="Yes"/>
    <x v="4"/>
  </r>
  <r>
    <x v="124"/>
    <x v="0"/>
    <x v="2"/>
    <x v="0"/>
    <x v="2"/>
    <x v="2"/>
    <x v="22"/>
    <x v="2"/>
    <x v="121"/>
    <x v="1"/>
    <s v="TV"/>
    <x v="1"/>
    <s v="Yes"/>
    <x v="1"/>
  </r>
  <r>
    <x v="125"/>
    <x v="22"/>
    <x v="2"/>
    <x v="0"/>
    <x v="1"/>
    <x v="5"/>
    <x v="8"/>
    <x v="6"/>
    <x v="122"/>
    <x v="7"/>
    <s v="Laptop"/>
    <x v="1"/>
    <s v="Yes"/>
    <x v="2"/>
  </r>
  <r>
    <x v="126"/>
    <x v="2"/>
    <x v="0"/>
    <x v="2"/>
    <x v="2"/>
    <x v="3"/>
    <x v="25"/>
    <x v="1"/>
    <x v="123"/>
    <x v="7"/>
    <s v="Laptop"/>
    <x v="1"/>
    <s v="No"/>
    <x v="1"/>
  </r>
  <r>
    <x v="127"/>
    <x v="12"/>
    <x v="2"/>
    <x v="1"/>
    <x v="0"/>
    <x v="2"/>
    <x v="14"/>
    <x v="4"/>
    <x v="124"/>
    <x v="6"/>
    <s v="TV"/>
    <x v="1"/>
    <s v="No"/>
    <x v="3"/>
  </r>
  <r>
    <x v="128"/>
    <x v="2"/>
    <x v="2"/>
    <x v="0"/>
    <x v="1"/>
    <x v="4"/>
    <x v="1"/>
    <x v="7"/>
    <x v="125"/>
    <x v="0"/>
    <s v="Mobile"/>
    <x v="1"/>
    <s v="Yes"/>
    <x v="3"/>
  </r>
  <r>
    <x v="129"/>
    <x v="2"/>
    <x v="0"/>
    <x v="1"/>
    <x v="0"/>
    <x v="1"/>
    <x v="19"/>
    <x v="4"/>
    <x v="126"/>
    <x v="7"/>
    <s v="Mobile"/>
    <x v="1"/>
    <s v="Yes"/>
    <x v="1"/>
  </r>
  <r>
    <x v="130"/>
    <x v="17"/>
    <x v="2"/>
    <x v="0"/>
    <x v="2"/>
    <x v="1"/>
    <x v="10"/>
    <x v="6"/>
    <x v="127"/>
    <x v="7"/>
    <s v="Mobile"/>
    <x v="1"/>
    <s v="Yes"/>
    <x v="3"/>
  </r>
  <r>
    <x v="131"/>
    <x v="14"/>
    <x v="1"/>
    <x v="0"/>
    <x v="1"/>
    <x v="4"/>
    <x v="17"/>
    <x v="4"/>
    <x v="128"/>
    <x v="3"/>
    <s v="Mobile"/>
    <x v="0"/>
    <s v="No"/>
    <x v="4"/>
  </r>
  <r>
    <x v="132"/>
    <x v="11"/>
    <x v="1"/>
    <x v="1"/>
    <x v="0"/>
    <x v="2"/>
    <x v="8"/>
    <x v="3"/>
    <x v="129"/>
    <x v="2"/>
    <s v="Mobile"/>
    <x v="0"/>
    <s v="Yes"/>
    <x v="1"/>
  </r>
  <r>
    <x v="133"/>
    <x v="20"/>
    <x v="0"/>
    <x v="0"/>
    <x v="2"/>
    <x v="5"/>
    <x v="6"/>
    <x v="6"/>
    <x v="130"/>
    <x v="1"/>
    <s v="Laptop"/>
    <x v="1"/>
    <s v="No"/>
    <x v="4"/>
  </r>
  <r>
    <x v="134"/>
    <x v="21"/>
    <x v="1"/>
    <x v="1"/>
    <x v="0"/>
    <x v="0"/>
    <x v="3"/>
    <x v="0"/>
    <x v="131"/>
    <x v="7"/>
    <s v="Mobile"/>
    <x v="0"/>
    <s v="No"/>
    <x v="3"/>
  </r>
  <r>
    <x v="135"/>
    <x v="13"/>
    <x v="2"/>
    <x v="1"/>
    <x v="1"/>
    <x v="3"/>
    <x v="17"/>
    <x v="7"/>
    <x v="132"/>
    <x v="0"/>
    <s v="TV"/>
    <x v="0"/>
    <s v="Yes"/>
    <x v="4"/>
  </r>
  <r>
    <x v="136"/>
    <x v="10"/>
    <x v="0"/>
    <x v="1"/>
    <x v="1"/>
    <x v="2"/>
    <x v="9"/>
    <x v="2"/>
    <x v="133"/>
    <x v="6"/>
    <s v="Tablet"/>
    <x v="0"/>
    <s v="Yes"/>
    <x v="3"/>
  </r>
  <r>
    <x v="137"/>
    <x v="1"/>
    <x v="2"/>
    <x v="0"/>
    <x v="0"/>
    <x v="1"/>
    <x v="2"/>
    <x v="6"/>
    <x v="134"/>
    <x v="7"/>
    <s v="TV"/>
    <x v="1"/>
    <s v="No"/>
    <x v="2"/>
  </r>
  <r>
    <x v="138"/>
    <x v="5"/>
    <x v="2"/>
    <x v="1"/>
    <x v="0"/>
    <x v="0"/>
    <x v="17"/>
    <x v="7"/>
    <x v="135"/>
    <x v="2"/>
    <s v="Mobile"/>
    <x v="1"/>
    <s v="No"/>
    <x v="3"/>
  </r>
  <r>
    <x v="139"/>
    <x v="17"/>
    <x v="2"/>
    <x v="0"/>
    <x v="2"/>
    <x v="0"/>
    <x v="9"/>
    <x v="4"/>
    <x v="136"/>
    <x v="7"/>
    <s v="TV"/>
    <x v="0"/>
    <s v="No"/>
    <x v="4"/>
  </r>
  <r>
    <x v="140"/>
    <x v="1"/>
    <x v="1"/>
    <x v="1"/>
    <x v="2"/>
    <x v="3"/>
    <x v="20"/>
    <x v="0"/>
    <x v="137"/>
    <x v="7"/>
    <s v="TV"/>
    <x v="1"/>
    <s v="No"/>
    <x v="3"/>
  </r>
  <r>
    <x v="141"/>
    <x v="9"/>
    <x v="1"/>
    <x v="1"/>
    <x v="2"/>
    <x v="4"/>
    <x v="2"/>
    <x v="6"/>
    <x v="138"/>
    <x v="7"/>
    <s v="Tablet"/>
    <x v="1"/>
    <s v="Yes"/>
    <x v="3"/>
  </r>
  <r>
    <x v="142"/>
    <x v="1"/>
    <x v="2"/>
    <x v="2"/>
    <x v="1"/>
    <x v="0"/>
    <x v="22"/>
    <x v="2"/>
    <x v="139"/>
    <x v="3"/>
    <s v="Laptop"/>
    <x v="1"/>
    <s v="Yes"/>
    <x v="4"/>
  </r>
  <r>
    <x v="143"/>
    <x v="14"/>
    <x v="2"/>
    <x v="1"/>
    <x v="1"/>
    <x v="3"/>
    <x v="4"/>
    <x v="2"/>
    <x v="140"/>
    <x v="6"/>
    <s v="TV"/>
    <x v="1"/>
    <s v="No"/>
    <x v="0"/>
  </r>
  <r>
    <x v="144"/>
    <x v="1"/>
    <x v="2"/>
    <x v="1"/>
    <x v="2"/>
    <x v="0"/>
    <x v="21"/>
    <x v="5"/>
    <x v="141"/>
    <x v="1"/>
    <s v="Mobile"/>
    <x v="0"/>
    <s v="Yes"/>
    <x v="1"/>
  </r>
  <r>
    <x v="145"/>
    <x v="13"/>
    <x v="0"/>
    <x v="1"/>
    <x v="2"/>
    <x v="0"/>
    <x v="10"/>
    <x v="4"/>
    <x v="142"/>
    <x v="1"/>
    <s v="TV"/>
    <x v="1"/>
    <s v="Yes"/>
    <x v="1"/>
  </r>
  <r>
    <x v="146"/>
    <x v="7"/>
    <x v="0"/>
    <x v="2"/>
    <x v="2"/>
    <x v="3"/>
    <x v="8"/>
    <x v="7"/>
    <x v="143"/>
    <x v="7"/>
    <s v="Mobile"/>
    <x v="1"/>
    <s v="No"/>
    <x v="4"/>
  </r>
  <r>
    <x v="147"/>
    <x v="2"/>
    <x v="2"/>
    <x v="2"/>
    <x v="0"/>
    <x v="3"/>
    <x v="2"/>
    <x v="3"/>
    <x v="144"/>
    <x v="4"/>
    <s v="Laptop"/>
    <x v="1"/>
    <s v="Yes"/>
    <x v="3"/>
  </r>
  <r>
    <x v="148"/>
    <x v="3"/>
    <x v="2"/>
    <x v="2"/>
    <x v="0"/>
    <x v="5"/>
    <x v="7"/>
    <x v="0"/>
    <x v="145"/>
    <x v="0"/>
    <s v="TV"/>
    <x v="1"/>
    <s v="No"/>
    <x v="0"/>
  </r>
  <r>
    <x v="149"/>
    <x v="15"/>
    <x v="0"/>
    <x v="0"/>
    <x v="2"/>
    <x v="0"/>
    <x v="20"/>
    <x v="0"/>
    <x v="146"/>
    <x v="6"/>
    <s v="Tablet"/>
    <x v="1"/>
    <s v="Yes"/>
    <x v="1"/>
  </r>
  <r>
    <x v="150"/>
    <x v="6"/>
    <x v="0"/>
    <x v="1"/>
    <x v="1"/>
    <x v="3"/>
    <x v="6"/>
    <x v="0"/>
    <x v="147"/>
    <x v="4"/>
    <s v="TV"/>
    <x v="0"/>
    <s v="Yes"/>
    <x v="3"/>
  </r>
  <r>
    <x v="151"/>
    <x v="18"/>
    <x v="1"/>
    <x v="1"/>
    <x v="0"/>
    <x v="2"/>
    <x v="2"/>
    <x v="3"/>
    <x v="148"/>
    <x v="2"/>
    <s v="Laptop"/>
    <x v="1"/>
    <s v="Yes"/>
    <x v="0"/>
  </r>
  <r>
    <x v="152"/>
    <x v="15"/>
    <x v="1"/>
    <x v="0"/>
    <x v="0"/>
    <x v="0"/>
    <x v="6"/>
    <x v="7"/>
    <x v="149"/>
    <x v="3"/>
    <s v="Mobile"/>
    <x v="0"/>
    <s v="Yes"/>
    <x v="1"/>
  </r>
  <r>
    <x v="153"/>
    <x v="0"/>
    <x v="1"/>
    <x v="0"/>
    <x v="1"/>
    <x v="4"/>
    <x v="12"/>
    <x v="6"/>
    <x v="150"/>
    <x v="6"/>
    <s v="TV"/>
    <x v="1"/>
    <s v="No"/>
    <x v="0"/>
  </r>
  <r>
    <x v="154"/>
    <x v="22"/>
    <x v="2"/>
    <x v="1"/>
    <x v="0"/>
    <x v="0"/>
    <x v="15"/>
    <x v="6"/>
    <x v="151"/>
    <x v="4"/>
    <s v="Tablet"/>
    <x v="1"/>
    <s v="No"/>
    <x v="4"/>
  </r>
  <r>
    <x v="155"/>
    <x v="12"/>
    <x v="0"/>
    <x v="1"/>
    <x v="1"/>
    <x v="2"/>
    <x v="1"/>
    <x v="7"/>
    <x v="152"/>
    <x v="5"/>
    <s v="Laptop"/>
    <x v="1"/>
    <s v="Yes"/>
    <x v="1"/>
  </r>
  <r>
    <x v="156"/>
    <x v="18"/>
    <x v="2"/>
    <x v="1"/>
    <x v="0"/>
    <x v="1"/>
    <x v="14"/>
    <x v="0"/>
    <x v="153"/>
    <x v="3"/>
    <s v="TV"/>
    <x v="1"/>
    <s v="No"/>
    <x v="2"/>
  </r>
  <r>
    <x v="157"/>
    <x v="22"/>
    <x v="1"/>
    <x v="1"/>
    <x v="0"/>
    <x v="1"/>
    <x v="25"/>
    <x v="4"/>
    <x v="154"/>
    <x v="6"/>
    <s v="Tablet"/>
    <x v="1"/>
    <s v="No"/>
    <x v="1"/>
  </r>
  <r>
    <x v="158"/>
    <x v="21"/>
    <x v="2"/>
    <x v="0"/>
    <x v="0"/>
    <x v="5"/>
    <x v="4"/>
    <x v="7"/>
    <x v="155"/>
    <x v="3"/>
    <s v="Mobile"/>
    <x v="1"/>
    <s v="No"/>
    <x v="1"/>
  </r>
  <r>
    <x v="159"/>
    <x v="9"/>
    <x v="2"/>
    <x v="2"/>
    <x v="0"/>
    <x v="3"/>
    <x v="6"/>
    <x v="1"/>
    <x v="156"/>
    <x v="4"/>
    <s v="TV"/>
    <x v="1"/>
    <s v="No"/>
    <x v="4"/>
  </r>
  <r>
    <x v="160"/>
    <x v="3"/>
    <x v="1"/>
    <x v="2"/>
    <x v="0"/>
    <x v="2"/>
    <x v="17"/>
    <x v="5"/>
    <x v="157"/>
    <x v="0"/>
    <s v="Tablet"/>
    <x v="1"/>
    <s v="No"/>
    <x v="2"/>
  </r>
  <r>
    <x v="161"/>
    <x v="9"/>
    <x v="0"/>
    <x v="0"/>
    <x v="2"/>
    <x v="2"/>
    <x v="22"/>
    <x v="7"/>
    <x v="158"/>
    <x v="7"/>
    <s v="Laptop"/>
    <x v="0"/>
    <s v="No"/>
    <x v="2"/>
  </r>
  <r>
    <x v="162"/>
    <x v="15"/>
    <x v="0"/>
    <x v="2"/>
    <x v="2"/>
    <x v="4"/>
    <x v="17"/>
    <x v="4"/>
    <x v="159"/>
    <x v="4"/>
    <s v="Laptop"/>
    <x v="1"/>
    <s v="No"/>
    <x v="2"/>
  </r>
  <r>
    <x v="163"/>
    <x v="2"/>
    <x v="1"/>
    <x v="1"/>
    <x v="1"/>
    <x v="5"/>
    <x v="16"/>
    <x v="4"/>
    <x v="160"/>
    <x v="2"/>
    <s v="Tablet"/>
    <x v="0"/>
    <s v="No"/>
    <x v="0"/>
  </r>
  <r>
    <x v="164"/>
    <x v="18"/>
    <x v="1"/>
    <x v="1"/>
    <x v="1"/>
    <x v="0"/>
    <x v="22"/>
    <x v="6"/>
    <x v="161"/>
    <x v="6"/>
    <s v="TV"/>
    <x v="0"/>
    <s v="Yes"/>
    <x v="4"/>
  </r>
  <r>
    <x v="165"/>
    <x v="10"/>
    <x v="1"/>
    <x v="2"/>
    <x v="1"/>
    <x v="4"/>
    <x v="23"/>
    <x v="2"/>
    <x v="162"/>
    <x v="1"/>
    <s v="Mobile"/>
    <x v="0"/>
    <s v="Yes"/>
    <x v="1"/>
  </r>
  <r>
    <x v="166"/>
    <x v="21"/>
    <x v="0"/>
    <x v="1"/>
    <x v="1"/>
    <x v="1"/>
    <x v="24"/>
    <x v="1"/>
    <x v="163"/>
    <x v="6"/>
    <s v="Mobile"/>
    <x v="0"/>
    <s v="Yes"/>
    <x v="4"/>
  </r>
  <r>
    <x v="167"/>
    <x v="6"/>
    <x v="1"/>
    <x v="1"/>
    <x v="2"/>
    <x v="1"/>
    <x v="11"/>
    <x v="4"/>
    <x v="164"/>
    <x v="7"/>
    <s v="TV"/>
    <x v="1"/>
    <s v="No"/>
    <x v="4"/>
  </r>
  <r>
    <x v="168"/>
    <x v="11"/>
    <x v="2"/>
    <x v="0"/>
    <x v="2"/>
    <x v="2"/>
    <x v="14"/>
    <x v="3"/>
    <x v="165"/>
    <x v="6"/>
    <s v="TV"/>
    <x v="1"/>
    <s v="No"/>
    <x v="1"/>
  </r>
  <r>
    <x v="169"/>
    <x v="6"/>
    <x v="2"/>
    <x v="0"/>
    <x v="1"/>
    <x v="0"/>
    <x v="15"/>
    <x v="1"/>
    <x v="166"/>
    <x v="5"/>
    <s v="TV"/>
    <x v="0"/>
    <s v="No"/>
    <x v="0"/>
  </r>
  <r>
    <x v="170"/>
    <x v="19"/>
    <x v="2"/>
    <x v="1"/>
    <x v="1"/>
    <x v="2"/>
    <x v="13"/>
    <x v="4"/>
    <x v="167"/>
    <x v="1"/>
    <s v="Laptop"/>
    <x v="1"/>
    <s v="No"/>
    <x v="2"/>
  </r>
  <r>
    <x v="171"/>
    <x v="14"/>
    <x v="0"/>
    <x v="0"/>
    <x v="0"/>
    <x v="0"/>
    <x v="0"/>
    <x v="3"/>
    <x v="168"/>
    <x v="1"/>
    <s v="Mobile"/>
    <x v="0"/>
    <s v="No"/>
    <x v="1"/>
  </r>
  <r>
    <x v="172"/>
    <x v="18"/>
    <x v="1"/>
    <x v="0"/>
    <x v="0"/>
    <x v="5"/>
    <x v="2"/>
    <x v="2"/>
    <x v="169"/>
    <x v="5"/>
    <s v="Tablet"/>
    <x v="1"/>
    <s v="Yes"/>
    <x v="2"/>
  </r>
  <r>
    <x v="173"/>
    <x v="16"/>
    <x v="0"/>
    <x v="2"/>
    <x v="1"/>
    <x v="1"/>
    <x v="11"/>
    <x v="6"/>
    <x v="170"/>
    <x v="4"/>
    <s v="Tablet"/>
    <x v="0"/>
    <s v="Yes"/>
    <x v="2"/>
  </r>
  <r>
    <x v="174"/>
    <x v="17"/>
    <x v="1"/>
    <x v="1"/>
    <x v="0"/>
    <x v="3"/>
    <x v="15"/>
    <x v="5"/>
    <x v="71"/>
    <x v="0"/>
    <s v="TV"/>
    <x v="1"/>
    <s v="No"/>
    <x v="3"/>
  </r>
  <r>
    <x v="175"/>
    <x v="0"/>
    <x v="0"/>
    <x v="2"/>
    <x v="2"/>
    <x v="2"/>
    <x v="7"/>
    <x v="3"/>
    <x v="171"/>
    <x v="0"/>
    <s v="TV"/>
    <x v="0"/>
    <s v="No"/>
    <x v="4"/>
  </r>
  <r>
    <x v="176"/>
    <x v="0"/>
    <x v="0"/>
    <x v="2"/>
    <x v="2"/>
    <x v="2"/>
    <x v="19"/>
    <x v="3"/>
    <x v="172"/>
    <x v="4"/>
    <s v="Tablet"/>
    <x v="1"/>
    <s v="No"/>
    <x v="3"/>
  </r>
  <r>
    <x v="177"/>
    <x v="1"/>
    <x v="0"/>
    <x v="0"/>
    <x v="2"/>
    <x v="2"/>
    <x v="16"/>
    <x v="3"/>
    <x v="173"/>
    <x v="3"/>
    <s v="TV"/>
    <x v="1"/>
    <s v="Yes"/>
    <x v="2"/>
  </r>
  <r>
    <x v="178"/>
    <x v="12"/>
    <x v="2"/>
    <x v="2"/>
    <x v="1"/>
    <x v="5"/>
    <x v="12"/>
    <x v="6"/>
    <x v="174"/>
    <x v="2"/>
    <s v="TV"/>
    <x v="0"/>
    <s v="Yes"/>
    <x v="0"/>
  </r>
  <r>
    <x v="179"/>
    <x v="8"/>
    <x v="0"/>
    <x v="1"/>
    <x v="1"/>
    <x v="5"/>
    <x v="0"/>
    <x v="5"/>
    <x v="175"/>
    <x v="0"/>
    <s v="TV"/>
    <x v="1"/>
    <s v="Yes"/>
    <x v="0"/>
  </r>
  <r>
    <x v="180"/>
    <x v="22"/>
    <x v="2"/>
    <x v="2"/>
    <x v="1"/>
    <x v="2"/>
    <x v="8"/>
    <x v="1"/>
    <x v="176"/>
    <x v="6"/>
    <s v="Laptop"/>
    <x v="0"/>
    <s v="Yes"/>
    <x v="3"/>
  </r>
  <r>
    <x v="181"/>
    <x v="15"/>
    <x v="0"/>
    <x v="2"/>
    <x v="0"/>
    <x v="3"/>
    <x v="24"/>
    <x v="3"/>
    <x v="177"/>
    <x v="4"/>
    <s v="Laptop"/>
    <x v="1"/>
    <s v="No"/>
    <x v="0"/>
  </r>
  <r>
    <x v="182"/>
    <x v="7"/>
    <x v="2"/>
    <x v="0"/>
    <x v="1"/>
    <x v="4"/>
    <x v="22"/>
    <x v="6"/>
    <x v="178"/>
    <x v="6"/>
    <s v="Laptop"/>
    <x v="1"/>
    <s v="No"/>
    <x v="1"/>
  </r>
  <r>
    <x v="183"/>
    <x v="10"/>
    <x v="1"/>
    <x v="1"/>
    <x v="1"/>
    <x v="3"/>
    <x v="17"/>
    <x v="1"/>
    <x v="179"/>
    <x v="2"/>
    <s v="Mobile"/>
    <x v="0"/>
    <s v="Yes"/>
    <x v="4"/>
  </r>
  <r>
    <x v="184"/>
    <x v="19"/>
    <x v="1"/>
    <x v="0"/>
    <x v="0"/>
    <x v="4"/>
    <x v="20"/>
    <x v="6"/>
    <x v="180"/>
    <x v="2"/>
    <s v="Tablet"/>
    <x v="0"/>
    <s v="Yes"/>
    <x v="2"/>
  </r>
  <r>
    <x v="185"/>
    <x v="0"/>
    <x v="2"/>
    <x v="1"/>
    <x v="2"/>
    <x v="4"/>
    <x v="9"/>
    <x v="1"/>
    <x v="181"/>
    <x v="0"/>
    <s v="Laptop"/>
    <x v="1"/>
    <s v="Yes"/>
    <x v="4"/>
  </r>
  <r>
    <x v="186"/>
    <x v="2"/>
    <x v="0"/>
    <x v="2"/>
    <x v="0"/>
    <x v="3"/>
    <x v="7"/>
    <x v="6"/>
    <x v="182"/>
    <x v="2"/>
    <s v="Tablet"/>
    <x v="1"/>
    <s v="No"/>
    <x v="1"/>
  </r>
  <r>
    <x v="187"/>
    <x v="22"/>
    <x v="0"/>
    <x v="1"/>
    <x v="0"/>
    <x v="0"/>
    <x v="14"/>
    <x v="0"/>
    <x v="183"/>
    <x v="3"/>
    <s v="Tablet"/>
    <x v="0"/>
    <s v="Yes"/>
    <x v="0"/>
  </r>
  <r>
    <x v="188"/>
    <x v="11"/>
    <x v="0"/>
    <x v="1"/>
    <x v="1"/>
    <x v="0"/>
    <x v="4"/>
    <x v="6"/>
    <x v="184"/>
    <x v="1"/>
    <s v="Mobile"/>
    <x v="1"/>
    <s v="No"/>
    <x v="1"/>
  </r>
  <r>
    <x v="189"/>
    <x v="22"/>
    <x v="0"/>
    <x v="2"/>
    <x v="2"/>
    <x v="1"/>
    <x v="7"/>
    <x v="7"/>
    <x v="185"/>
    <x v="7"/>
    <s v="Laptop"/>
    <x v="1"/>
    <s v="Yes"/>
    <x v="2"/>
  </r>
  <r>
    <x v="190"/>
    <x v="8"/>
    <x v="2"/>
    <x v="1"/>
    <x v="0"/>
    <x v="5"/>
    <x v="10"/>
    <x v="2"/>
    <x v="186"/>
    <x v="5"/>
    <s v="Tablet"/>
    <x v="0"/>
    <s v="No"/>
    <x v="4"/>
  </r>
  <r>
    <x v="191"/>
    <x v="0"/>
    <x v="2"/>
    <x v="2"/>
    <x v="2"/>
    <x v="4"/>
    <x v="22"/>
    <x v="2"/>
    <x v="187"/>
    <x v="2"/>
    <s v="Tablet"/>
    <x v="0"/>
    <s v="No"/>
    <x v="1"/>
  </r>
  <r>
    <x v="192"/>
    <x v="22"/>
    <x v="2"/>
    <x v="0"/>
    <x v="1"/>
    <x v="4"/>
    <x v="14"/>
    <x v="1"/>
    <x v="188"/>
    <x v="4"/>
    <s v="Tablet"/>
    <x v="0"/>
    <s v="No"/>
    <x v="3"/>
  </r>
  <r>
    <x v="193"/>
    <x v="11"/>
    <x v="2"/>
    <x v="1"/>
    <x v="0"/>
    <x v="5"/>
    <x v="11"/>
    <x v="3"/>
    <x v="189"/>
    <x v="3"/>
    <s v="TV"/>
    <x v="1"/>
    <s v="Yes"/>
    <x v="2"/>
  </r>
  <r>
    <x v="194"/>
    <x v="1"/>
    <x v="0"/>
    <x v="1"/>
    <x v="0"/>
    <x v="2"/>
    <x v="1"/>
    <x v="5"/>
    <x v="190"/>
    <x v="3"/>
    <s v="Laptop"/>
    <x v="0"/>
    <s v="Yes"/>
    <x v="1"/>
  </r>
  <r>
    <x v="195"/>
    <x v="13"/>
    <x v="1"/>
    <x v="0"/>
    <x v="2"/>
    <x v="1"/>
    <x v="14"/>
    <x v="7"/>
    <x v="191"/>
    <x v="2"/>
    <s v="Tablet"/>
    <x v="1"/>
    <s v="No"/>
    <x v="1"/>
  </r>
  <r>
    <x v="196"/>
    <x v="16"/>
    <x v="2"/>
    <x v="1"/>
    <x v="0"/>
    <x v="0"/>
    <x v="19"/>
    <x v="4"/>
    <x v="192"/>
    <x v="7"/>
    <s v="Laptop"/>
    <x v="1"/>
    <s v="No"/>
    <x v="1"/>
  </r>
  <r>
    <x v="197"/>
    <x v="20"/>
    <x v="1"/>
    <x v="0"/>
    <x v="0"/>
    <x v="2"/>
    <x v="17"/>
    <x v="1"/>
    <x v="193"/>
    <x v="2"/>
    <s v="Laptop"/>
    <x v="0"/>
    <s v="No"/>
    <x v="3"/>
  </r>
  <r>
    <x v="198"/>
    <x v="22"/>
    <x v="2"/>
    <x v="2"/>
    <x v="1"/>
    <x v="0"/>
    <x v="16"/>
    <x v="7"/>
    <x v="194"/>
    <x v="2"/>
    <s v="Tablet"/>
    <x v="1"/>
    <s v="No"/>
    <x v="3"/>
  </r>
  <r>
    <x v="199"/>
    <x v="2"/>
    <x v="0"/>
    <x v="2"/>
    <x v="1"/>
    <x v="4"/>
    <x v="9"/>
    <x v="2"/>
    <x v="195"/>
    <x v="3"/>
    <s v="Mobile"/>
    <x v="0"/>
    <s v="Yes"/>
    <x v="3"/>
  </r>
  <r>
    <x v="200"/>
    <x v="21"/>
    <x v="0"/>
    <x v="2"/>
    <x v="0"/>
    <x v="3"/>
    <x v="20"/>
    <x v="3"/>
    <x v="141"/>
    <x v="6"/>
    <s v="TV"/>
    <x v="0"/>
    <s v="No"/>
    <x v="3"/>
  </r>
  <r>
    <x v="201"/>
    <x v="8"/>
    <x v="1"/>
    <x v="2"/>
    <x v="2"/>
    <x v="3"/>
    <x v="23"/>
    <x v="6"/>
    <x v="196"/>
    <x v="2"/>
    <s v="TV"/>
    <x v="0"/>
    <s v="No"/>
    <x v="2"/>
  </r>
  <r>
    <x v="202"/>
    <x v="2"/>
    <x v="0"/>
    <x v="0"/>
    <x v="0"/>
    <x v="5"/>
    <x v="0"/>
    <x v="5"/>
    <x v="197"/>
    <x v="7"/>
    <s v="TV"/>
    <x v="1"/>
    <s v="Yes"/>
    <x v="1"/>
  </r>
  <r>
    <x v="203"/>
    <x v="3"/>
    <x v="0"/>
    <x v="2"/>
    <x v="0"/>
    <x v="2"/>
    <x v="16"/>
    <x v="0"/>
    <x v="198"/>
    <x v="3"/>
    <s v="Mobile"/>
    <x v="1"/>
    <s v="No"/>
    <x v="1"/>
  </r>
  <r>
    <x v="204"/>
    <x v="17"/>
    <x v="1"/>
    <x v="0"/>
    <x v="1"/>
    <x v="1"/>
    <x v="7"/>
    <x v="0"/>
    <x v="199"/>
    <x v="6"/>
    <s v="Tablet"/>
    <x v="1"/>
    <s v="Yes"/>
    <x v="2"/>
  </r>
  <r>
    <x v="205"/>
    <x v="15"/>
    <x v="1"/>
    <x v="2"/>
    <x v="2"/>
    <x v="2"/>
    <x v="17"/>
    <x v="6"/>
    <x v="200"/>
    <x v="0"/>
    <s v="TV"/>
    <x v="0"/>
    <s v="Yes"/>
    <x v="3"/>
  </r>
  <r>
    <x v="206"/>
    <x v="18"/>
    <x v="0"/>
    <x v="2"/>
    <x v="2"/>
    <x v="3"/>
    <x v="18"/>
    <x v="5"/>
    <x v="201"/>
    <x v="4"/>
    <s v="Laptop"/>
    <x v="1"/>
    <s v="No"/>
    <x v="1"/>
  </r>
  <r>
    <x v="207"/>
    <x v="17"/>
    <x v="1"/>
    <x v="2"/>
    <x v="2"/>
    <x v="3"/>
    <x v="12"/>
    <x v="0"/>
    <x v="202"/>
    <x v="5"/>
    <s v="Laptop"/>
    <x v="0"/>
    <s v="No"/>
    <x v="2"/>
  </r>
  <r>
    <x v="208"/>
    <x v="9"/>
    <x v="2"/>
    <x v="1"/>
    <x v="0"/>
    <x v="0"/>
    <x v="12"/>
    <x v="5"/>
    <x v="203"/>
    <x v="6"/>
    <s v="Tablet"/>
    <x v="0"/>
    <s v="No"/>
    <x v="1"/>
  </r>
  <r>
    <x v="209"/>
    <x v="6"/>
    <x v="1"/>
    <x v="2"/>
    <x v="1"/>
    <x v="4"/>
    <x v="16"/>
    <x v="0"/>
    <x v="204"/>
    <x v="2"/>
    <s v="Laptop"/>
    <x v="0"/>
    <s v="Yes"/>
    <x v="3"/>
  </r>
  <r>
    <x v="210"/>
    <x v="5"/>
    <x v="1"/>
    <x v="1"/>
    <x v="2"/>
    <x v="2"/>
    <x v="8"/>
    <x v="0"/>
    <x v="205"/>
    <x v="0"/>
    <s v="Mobile"/>
    <x v="1"/>
    <s v="No"/>
    <x v="3"/>
  </r>
  <r>
    <x v="211"/>
    <x v="3"/>
    <x v="0"/>
    <x v="0"/>
    <x v="0"/>
    <x v="4"/>
    <x v="12"/>
    <x v="4"/>
    <x v="206"/>
    <x v="5"/>
    <s v="Mobile"/>
    <x v="0"/>
    <s v="Yes"/>
    <x v="2"/>
  </r>
  <r>
    <x v="212"/>
    <x v="3"/>
    <x v="1"/>
    <x v="1"/>
    <x v="2"/>
    <x v="3"/>
    <x v="7"/>
    <x v="5"/>
    <x v="207"/>
    <x v="5"/>
    <s v="Tablet"/>
    <x v="0"/>
    <s v="Yes"/>
    <x v="1"/>
  </r>
  <r>
    <x v="213"/>
    <x v="10"/>
    <x v="0"/>
    <x v="0"/>
    <x v="2"/>
    <x v="2"/>
    <x v="10"/>
    <x v="5"/>
    <x v="208"/>
    <x v="6"/>
    <s v="Laptop"/>
    <x v="0"/>
    <s v="Yes"/>
    <x v="4"/>
  </r>
  <r>
    <x v="214"/>
    <x v="20"/>
    <x v="2"/>
    <x v="0"/>
    <x v="2"/>
    <x v="2"/>
    <x v="19"/>
    <x v="3"/>
    <x v="209"/>
    <x v="6"/>
    <s v="Laptop"/>
    <x v="1"/>
    <s v="Yes"/>
    <x v="0"/>
  </r>
  <r>
    <x v="215"/>
    <x v="14"/>
    <x v="2"/>
    <x v="2"/>
    <x v="2"/>
    <x v="2"/>
    <x v="13"/>
    <x v="4"/>
    <x v="210"/>
    <x v="7"/>
    <s v="Tablet"/>
    <x v="0"/>
    <s v="No"/>
    <x v="4"/>
  </r>
  <r>
    <x v="216"/>
    <x v="18"/>
    <x v="2"/>
    <x v="1"/>
    <x v="0"/>
    <x v="4"/>
    <x v="3"/>
    <x v="7"/>
    <x v="211"/>
    <x v="2"/>
    <s v="Tablet"/>
    <x v="0"/>
    <s v="No"/>
    <x v="3"/>
  </r>
  <r>
    <x v="217"/>
    <x v="17"/>
    <x v="0"/>
    <x v="2"/>
    <x v="0"/>
    <x v="5"/>
    <x v="19"/>
    <x v="2"/>
    <x v="182"/>
    <x v="3"/>
    <s v="Tablet"/>
    <x v="0"/>
    <s v="No"/>
    <x v="0"/>
  </r>
  <r>
    <x v="218"/>
    <x v="16"/>
    <x v="1"/>
    <x v="1"/>
    <x v="0"/>
    <x v="0"/>
    <x v="2"/>
    <x v="5"/>
    <x v="212"/>
    <x v="1"/>
    <s v="TV"/>
    <x v="0"/>
    <s v="No"/>
    <x v="4"/>
  </r>
  <r>
    <x v="219"/>
    <x v="17"/>
    <x v="2"/>
    <x v="2"/>
    <x v="2"/>
    <x v="5"/>
    <x v="4"/>
    <x v="1"/>
    <x v="213"/>
    <x v="3"/>
    <s v="TV"/>
    <x v="0"/>
    <s v="Yes"/>
    <x v="1"/>
  </r>
  <r>
    <x v="220"/>
    <x v="22"/>
    <x v="0"/>
    <x v="2"/>
    <x v="1"/>
    <x v="3"/>
    <x v="22"/>
    <x v="1"/>
    <x v="214"/>
    <x v="7"/>
    <s v="Tablet"/>
    <x v="0"/>
    <s v="Yes"/>
    <x v="0"/>
  </r>
  <r>
    <x v="221"/>
    <x v="7"/>
    <x v="1"/>
    <x v="2"/>
    <x v="1"/>
    <x v="5"/>
    <x v="19"/>
    <x v="3"/>
    <x v="215"/>
    <x v="6"/>
    <s v="TV"/>
    <x v="1"/>
    <s v="No"/>
    <x v="1"/>
  </r>
  <r>
    <x v="222"/>
    <x v="8"/>
    <x v="0"/>
    <x v="1"/>
    <x v="0"/>
    <x v="4"/>
    <x v="21"/>
    <x v="0"/>
    <x v="216"/>
    <x v="2"/>
    <s v="Tablet"/>
    <x v="0"/>
    <s v="Yes"/>
    <x v="1"/>
  </r>
  <r>
    <x v="223"/>
    <x v="14"/>
    <x v="2"/>
    <x v="0"/>
    <x v="1"/>
    <x v="4"/>
    <x v="5"/>
    <x v="7"/>
    <x v="217"/>
    <x v="6"/>
    <s v="Mobile"/>
    <x v="1"/>
    <s v="No"/>
    <x v="0"/>
  </r>
  <r>
    <x v="224"/>
    <x v="18"/>
    <x v="1"/>
    <x v="0"/>
    <x v="0"/>
    <x v="2"/>
    <x v="4"/>
    <x v="0"/>
    <x v="218"/>
    <x v="4"/>
    <s v="Laptop"/>
    <x v="0"/>
    <s v="Yes"/>
    <x v="2"/>
  </r>
  <r>
    <x v="225"/>
    <x v="18"/>
    <x v="0"/>
    <x v="1"/>
    <x v="1"/>
    <x v="1"/>
    <x v="7"/>
    <x v="2"/>
    <x v="219"/>
    <x v="5"/>
    <s v="Tablet"/>
    <x v="0"/>
    <s v="Yes"/>
    <x v="4"/>
  </r>
  <r>
    <x v="226"/>
    <x v="12"/>
    <x v="0"/>
    <x v="2"/>
    <x v="0"/>
    <x v="1"/>
    <x v="21"/>
    <x v="5"/>
    <x v="220"/>
    <x v="0"/>
    <s v="Mobile"/>
    <x v="0"/>
    <s v="No"/>
    <x v="4"/>
  </r>
  <r>
    <x v="227"/>
    <x v="18"/>
    <x v="2"/>
    <x v="2"/>
    <x v="2"/>
    <x v="5"/>
    <x v="1"/>
    <x v="7"/>
    <x v="134"/>
    <x v="5"/>
    <s v="Tablet"/>
    <x v="0"/>
    <s v="No"/>
    <x v="2"/>
  </r>
  <r>
    <x v="228"/>
    <x v="3"/>
    <x v="1"/>
    <x v="2"/>
    <x v="2"/>
    <x v="5"/>
    <x v="24"/>
    <x v="0"/>
    <x v="221"/>
    <x v="4"/>
    <s v="TV"/>
    <x v="0"/>
    <s v="Yes"/>
    <x v="3"/>
  </r>
  <r>
    <x v="229"/>
    <x v="16"/>
    <x v="1"/>
    <x v="0"/>
    <x v="1"/>
    <x v="4"/>
    <x v="0"/>
    <x v="1"/>
    <x v="222"/>
    <x v="4"/>
    <s v="Tablet"/>
    <x v="1"/>
    <s v="Yes"/>
    <x v="0"/>
  </r>
  <r>
    <x v="230"/>
    <x v="13"/>
    <x v="1"/>
    <x v="0"/>
    <x v="2"/>
    <x v="2"/>
    <x v="6"/>
    <x v="2"/>
    <x v="223"/>
    <x v="4"/>
    <s v="TV"/>
    <x v="1"/>
    <s v="Yes"/>
    <x v="3"/>
  </r>
  <r>
    <x v="231"/>
    <x v="3"/>
    <x v="0"/>
    <x v="1"/>
    <x v="1"/>
    <x v="5"/>
    <x v="18"/>
    <x v="4"/>
    <x v="224"/>
    <x v="5"/>
    <s v="Tablet"/>
    <x v="1"/>
    <s v="No"/>
    <x v="3"/>
  </r>
  <r>
    <x v="232"/>
    <x v="13"/>
    <x v="0"/>
    <x v="0"/>
    <x v="2"/>
    <x v="3"/>
    <x v="25"/>
    <x v="5"/>
    <x v="225"/>
    <x v="1"/>
    <s v="TV"/>
    <x v="0"/>
    <s v="No"/>
    <x v="1"/>
  </r>
  <r>
    <x v="233"/>
    <x v="10"/>
    <x v="1"/>
    <x v="0"/>
    <x v="1"/>
    <x v="3"/>
    <x v="9"/>
    <x v="5"/>
    <x v="226"/>
    <x v="7"/>
    <s v="Mobile"/>
    <x v="1"/>
    <s v="Yes"/>
    <x v="1"/>
  </r>
  <r>
    <x v="234"/>
    <x v="20"/>
    <x v="2"/>
    <x v="0"/>
    <x v="2"/>
    <x v="2"/>
    <x v="0"/>
    <x v="7"/>
    <x v="227"/>
    <x v="0"/>
    <s v="Tablet"/>
    <x v="0"/>
    <s v="Yes"/>
    <x v="3"/>
  </r>
  <r>
    <x v="235"/>
    <x v="11"/>
    <x v="1"/>
    <x v="2"/>
    <x v="1"/>
    <x v="4"/>
    <x v="15"/>
    <x v="2"/>
    <x v="228"/>
    <x v="4"/>
    <s v="Laptop"/>
    <x v="0"/>
    <s v="Yes"/>
    <x v="0"/>
  </r>
  <r>
    <x v="236"/>
    <x v="10"/>
    <x v="1"/>
    <x v="2"/>
    <x v="0"/>
    <x v="2"/>
    <x v="5"/>
    <x v="5"/>
    <x v="229"/>
    <x v="2"/>
    <s v="TV"/>
    <x v="0"/>
    <s v="Yes"/>
    <x v="0"/>
  </r>
  <r>
    <x v="237"/>
    <x v="20"/>
    <x v="1"/>
    <x v="0"/>
    <x v="0"/>
    <x v="1"/>
    <x v="17"/>
    <x v="7"/>
    <x v="230"/>
    <x v="1"/>
    <s v="Tablet"/>
    <x v="1"/>
    <s v="Yes"/>
    <x v="3"/>
  </r>
  <r>
    <x v="238"/>
    <x v="10"/>
    <x v="2"/>
    <x v="1"/>
    <x v="0"/>
    <x v="0"/>
    <x v="6"/>
    <x v="0"/>
    <x v="231"/>
    <x v="5"/>
    <s v="TV"/>
    <x v="1"/>
    <s v="No"/>
    <x v="4"/>
  </r>
  <r>
    <x v="239"/>
    <x v="13"/>
    <x v="1"/>
    <x v="0"/>
    <x v="1"/>
    <x v="4"/>
    <x v="11"/>
    <x v="7"/>
    <x v="232"/>
    <x v="0"/>
    <s v="Tablet"/>
    <x v="0"/>
    <s v="No"/>
    <x v="2"/>
  </r>
  <r>
    <x v="240"/>
    <x v="11"/>
    <x v="2"/>
    <x v="1"/>
    <x v="1"/>
    <x v="5"/>
    <x v="23"/>
    <x v="2"/>
    <x v="233"/>
    <x v="6"/>
    <s v="TV"/>
    <x v="0"/>
    <s v="Yes"/>
    <x v="0"/>
  </r>
  <r>
    <x v="241"/>
    <x v="7"/>
    <x v="0"/>
    <x v="0"/>
    <x v="2"/>
    <x v="4"/>
    <x v="6"/>
    <x v="6"/>
    <x v="234"/>
    <x v="5"/>
    <s v="Laptop"/>
    <x v="0"/>
    <s v="No"/>
    <x v="2"/>
  </r>
  <r>
    <x v="242"/>
    <x v="2"/>
    <x v="2"/>
    <x v="0"/>
    <x v="2"/>
    <x v="0"/>
    <x v="19"/>
    <x v="2"/>
    <x v="235"/>
    <x v="3"/>
    <s v="Tablet"/>
    <x v="1"/>
    <s v="Yes"/>
    <x v="0"/>
  </r>
  <r>
    <x v="243"/>
    <x v="20"/>
    <x v="0"/>
    <x v="0"/>
    <x v="2"/>
    <x v="3"/>
    <x v="6"/>
    <x v="2"/>
    <x v="236"/>
    <x v="1"/>
    <s v="Tablet"/>
    <x v="0"/>
    <s v="Yes"/>
    <x v="2"/>
  </r>
  <r>
    <x v="244"/>
    <x v="4"/>
    <x v="1"/>
    <x v="0"/>
    <x v="2"/>
    <x v="3"/>
    <x v="11"/>
    <x v="3"/>
    <x v="237"/>
    <x v="5"/>
    <s v="Mobile"/>
    <x v="0"/>
    <s v="Yes"/>
    <x v="4"/>
  </r>
  <r>
    <x v="245"/>
    <x v="18"/>
    <x v="2"/>
    <x v="0"/>
    <x v="1"/>
    <x v="0"/>
    <x v="5"/>
    <x v="2"/>
    <x v="85"/>
    <x v="0"/>
    <s v="Mobile"/>
    <x v="0"/>
    <s v="No"/>
    <x v="3"/>
  </r>
  <r>
    <x v="246"/>
    <x v="3"/>
    <x v="2"/>
    <x v="2"/>
    <x v="1"/>
    <x v="4"/>
    <x v="9"/>
    <x v="3"/>
    <x v="238"/>
    <x v="0"/>
    <s v="Mobile"/>
    <x v="0"/>
    <s v="Yes"/>
    <x v="3"/>
  </r>
  <r>
    <x v="247"/>
    <x v="10"/>
    <x v="2"/>
    <x v="1"/>
    <x v="0"/>
    <x v="1"/>
    <x v="9"/>
    <x v="5"/>
    <x v="239"/>
    <x v="0"/>
    <s v="Laptop"/>
    <x v="1"/>
    <s v="Yes"/>
    <x v="0"/>
  </r>
  <r>
    <x v="248"/>
    <x v="8"/>
    <x v="1"/>
    <x v="2"/>
    <x v="0"/>
    <x v="0"/>
    <x v="13"/>
    <x v="1"/>
    <x v="178"/>
    <x v="2"/>
    <s v="Mobile"/>
    <x v="0"/>
    <s v="No"/>
    <x v="1"/>
  </r>
  <r>
    <x v="249"/>
    <x v="17"/>
    <x v="1"/>
    <x v="2"/>
    <x v="0"/>
    <x v="5"/>
    <x v="0"/>
    <x v="6"/>
    <x v="240"/>
    <x v="7"/>
    <s v="TV"/>
    <x v="0"/>
    <s v="No"/>
    <x v="4"/>
  </r>
  <r>
    <x v="250"/>
    <x v="10"/>
    <x v="1"/>
    <x v="0"/>
    <x v="2"/>
    <x v="3"/>
    <x v="20"/>
    <x v="6"/>
    <x v="241"/>
    <x v="0"/>
    <s v="Mobile"/>
    <x v="1"/>
    <s v="Yes"/>
    <x v="1"/>
  </r>
  <r>
    <x v="251"/>
    <x v="19"/>
    <x v="2"/>
    <x v="2"/>
    <x v="1"/>
    <x v="5"/>
    <x v="17"/>
    <x v="1"/>
    <x v="242"/>
    <x v="5"/>
    <s v="Tablet"/>
    <x v="0"/>
    <s v="Yes"/>
    <x v="1"/>
  </r>
  <r>
    <x v="252"/>
    <x v="5"/>
    <x v="1"/>
    <x v="0"/>
    <x v="0"/>
    <x v="5"/>
    <x v="4"/>
    <x v="7"/>
    <x v="243"/>
    <x v="5"/>
    <s v="Mobile"/>
    <x v="1"/>
    <s v="No"/>
    <x v="2"/>
  </r>
  <r>
    <x v="253"/>
    <x v="22"/>
    <x v="2"/>
    <x v="0"/>
    <x v="2"/>
    <x v="5"/>
    <x v="17"/>
    <x v="6"/>
    <x v="244"/>
    <x v="2"/>
    <s v="Laptop"/>
    <x v="0"/>
    <s v="Yes"/>
    <x v="2"/>
  </r>
  <r>
    <x v="254"/>
    <x v="4"/>
    <x v="0"/>
    <x v="1"/>
    <x v="2"/>
    <x v="5"/>
    <x v="8"/>
    <x v="5"/>
    <x v="245"/>
    <x v="4"/>
    <s v="TV"/>
    <x v="0"/>
    <s v="No"/>
    <x v="2"/>
  </r>
  <r>
    <x v="255"/>
    <x v="7"/>
    <x v="2"/>
    <x v="1"/>
    <x v="1"/>
    <x v="3"/>
    <x v="12"/>
    <x v="5"/>
    <x v="246"/>
    <x v="0"/>
    <s v="Tablet"/>
    <x v="1"/>
    <s v="No"/>
    <x v="0"/>
  </r>
  <r>
    <x v="256"/>
    <x v="19"/>
    <x v="2"/>
    <x v="0"/>
    <x v="2"/>
    <x v="3"/>
    <x v="23"/>
    <x v="0"/>
    <x v="247"/>
    <x v="1"/>
    <s v="Mobile"/>
    <x v="0"/>
    <s v="Yes"/>
    <x v="3"/>
  </r>
  <r>
    <x v="257"/>
    <x v="22"/>
    <x v="2"/>
    <x v="0"/>
    <x v="0"/>
    <x v="3"/>
    <x v="17"/>
    <x v="1"/>
    <x v="248"/>
    <x v="1"/>
    <s v="TV"/>
    <x v="0"/>
    <s v="No"/>
    <x v="0"/>
  </r>
  <r>
    <x v="258"/>
    <x v="18"/>
    <x v="2"/>
    <x v="0"/>
    <x v="1"/>
    <x v="0"/>
    <x v="19"/>
    <x v="6"/>
    <x v="249"/>
    <x v="4"/>
    <s v="Laptop"/>
    <x v="0"/>
    <s v="No"/>
    <x v="1"/>
  </r>
  <r>
    <x v="259"/>
    <x v="1"/>
    <x v="2"/>
    <x v="0"/>
    <x v="1"/>
    <x v="4"/>
    <x v="24"/>
    <x v="6"/>
    <x v="250"/>
    <x v="7"/>
    <s v="Laptop"/>
    <x v="1"/>
    <s v="No"/>
    <x v="0"/>
  </r>
  <r>
    <x v="260"/>
    <x v="9"/>
    <x v="1"/>
    <x v="1"/>
    <x v="0"/>
    <x v="0"/>
    <x v="14"/>
    <x v="3"/>
    <x v="251"/>
    <x v="4"/>
    <s v="Mobile"/>
    <x v="1"/>
    <s v="Yes"/>
    <x v="0"/>
  </r>
  <r>
    <x v="261"/>
    <x v="22"/>
    <x v="2"/>
    <x v="0"/>
    <x v="1"/>
    <x v="4"/>
    <x v="7"/>
    <x v="5"/>
    <x v="252"/>
    <x v="0"/>
    <s v="Laptop"/>
    <x v="0"/>
    <s v="No"/>
    <x v="2"/>
  </r>
  <r>
    <x v="262"/>
    <x v="13"/>
    <x v="0"/>
    <x v="0"/>
    <x v="0"/>
    <x v="5"/>
    <x v="17"/>
    <x v="1"/>
    <x v="253"/>
    <x v="7"/>
    <s v="Tablet"/>
    <x v="0"/>
    <s v="Yes"/>
    <x v="0"/>
  </r>
  <r>
    <x v="263"/>
    <x v="15"/>
    <x v="0"/>
    <x v="2"/>
    <x v="1"/>
    <x v="3"/>
    <x v="8"/>
    <x v="1"/>
    <x v="254"/>
    <x v="4"/>
    <s v="Laptop"/>
    <x v="1"/>
    <s v="No"/>
    <x v="4"/>
  </r>
  <r>
    <x v="264"/>
    <x v="18"/>
    <x v="2"/>
    <x v="1"/>
    <x v="2"/>
    <x v="1"/>
    <x v="15"/>
    <x v="0"/>
    <x v="182"/>
    <x v="1"/>
    <s v="Laptop"/>
    <x v="0"/>
    <s v="Yes"/>
    <x v="0"/>
  </r>
  <r>
    <x v="265"/>
    <x v="7"/>
    <x v="2"/>
    <x v="1"/>
    <x v="0"/>
    <x v="5"/>
    <x v="25"/>
    <x v="7"/>
    <x v="255"/>
    <x v="1"/>
    <s v="Tablet"/>
    <x v="1"/>
    <s v="No"/>
    <x v="4"/>
  </r>
  <r>
    <x v="266"/>
    <x v="5"/>
    <x v="1"/>
    <x v="1"/>
    <x v="1"/>
    <x v="0"/>
    <x v="0"/>
    <x v="6"/>
    <x v="256"/>
    <x v="1"/>
    <s v="TV"/>
    <x v="0"/>
    <s v="Yes"/>
    <x v="3"/>
  </r>
  <r>
    <x v="267"/>
    <x v="4"/>
    <x v="1"/>
    <x v="0"/>
    <x v="1"/>
    <x v="2"/>
    <x v="14"/>
    <x v="5"/>
    <x v="257"/>
    <x v="4"/>
    <s v="Mobile"/>
    <x v="1"/>
    <s v="No"/>
    <x v="4"/>
  </r>
  <r>
    <x v="268"/>
    <x v="6"/>
    <x v="0"/>
    <x v="1"/>
    <x v="0"/>
    <x v="1"/>
    <x v="9"/>
    <x v="0"/>
    <x v="258"/>
    <x v="3"/>
    <s v="Mobile"/>
    <x v="0"/>
    <s v="Yes"/>
    <x v="3"/>
  </r>
  <r>
    <x v="269"/>
    <x v="11"/>
    <x v="1"/>
    <x v="2"/>
    <x v="2"/>
    <x v="3"/>
    <x v="16"/>
    <x v="6"/>
    <x v="259"/>
    <x v="0"/>
    <s v="Laptop"/>
    <x v="1"/>
    <s v="Yes"/>
    <x v="2"/>
  </r>
  <r>
    <x v="270"/>
    <x v="1"/>
    <x v="0"/>
    <x v="1"/>
    <x v="0"/>
    <x v="1"/>
    <x v="15"/>
    <x v="1"/>
    <x v="260"/>
    <x v="5"/>
    <s v="Tablet"/>
    <x v="0"/>
    <s v="No"/>
    <x v="2"/>
  </r>
  <r>
    <x v="271"/>
    <x v="8"/>
    <x v="0"/>
    <x v="0"/>
    <x v="2"/>
    <x v="2"/>
    <x v="20"/>
    <x v="4"/>
    <x v="261"/>
    <x v="4"/>
    <s v="Mobile"/>
    <x v="0"/>
    <s v="No"/>
    <x v="0"/>
  </r>
  <r>
    <x v="272"/>
    <x v="13"/>
    <x v="0"/>
    <x v="0"/>
    <x v="2"/>
    <x v="4"/>
    <x v="20"/>
    <x v="2"/>
    <x v="262"/>
    <x v="5"/>
    <s v="Laptop"/>
    <x v="0"/>
    <s v="Yes"/>
    <x v="4"/>
  </r>
  <r>
    <x v="273"/>
    <x v="17"/>
    <x v="2"/>
    <x v="2"/>
    <x v="2"/>
    <x v="2"/>
    <x v="15"/>
    <x v="7"/>
    <x v="263"/>
    <x v="5"/>
    <s v="TV"/>
    <x v="0"/>
    <s v="Yes"/>
    <x v="0"/>
  </r>
  <r>
    <x v="274"/>
    <x v="18"/>
    <x v="2"/>
    <x v="0"/>
    <x v="2"/>
    <x v="5"/>
    <x v="3"/>
    <x v="7"/>
    <x v="264"/>
    <x v="1"/>
    <s v="Laptop"/>
    <x v="0"/>
    <s v="Yes"/>
    <x v="2"/>
  </r>
  <r>
    <x v="275"/>
    <x v="8"/>
    <x v="1"/>
    <x v="0"/>
    <x v="0"/>
    <x v="5"/>
    <x v="14"/>
    <x v="1"/>
    <x v="265"/>
    <x v="7"/>
    <s v="Laptop"/>
    <x v="0"/>
    <s v="Yes"/>
    <x v="1"/>
  </r>
  <r>
    <x v="276"/>
    <x v="10"/>
    <x v="1"/>
    <x v="0"/>
    <x v="1"/>
    <x v="0"/>
    <x v="11"/>
    <x v="7"/>
    <x v="266"/>
    <x v="4"/>
    <s v="Laptop"/>
    <x v="1"/>
    <s v="No"/>
    <x v="0"/>
  </r>
  <r>
    <x v="277"/>
    <x v="2"/>
    <x v="0"/>
    <x v="0"/>
    <x v="1"/>
    <x v="1"/>
    <x v="23"/>
    <x v="6"/>
    <x v="267"/>
    <x v="6"/>
    <s v="Mobile"/>
    <x v="1"/>
    <s v="Yes"/>
    <x v="2"/>
  </r>
  <r>
    <x v="278"/>
    <x v="14"/>
    <x v="2"/>
    <x v="0"/>
    <x v="0"/>
    <x v="1"/>
    <x v="11"/>
    <x v="2"/>
    <x v="268"/>
    <x v="0"/>
    <s v="TV"/>
    <x v="0"/>
    <s v="No"/>
    <x v="3"/>
  </r>
  <r>
    <x v="279"/>
    <x v="4"/>
    <x v="0"/>
    <x v="1"/>
    <x v="2"/>
    <x v="2"/>
    <x v="22"/>
    <x v="2"/>
    <x v="269"/>
    <x v="4"/>
    <s v="Tablet"/>
    <x v="1"/>
    <s v="No"/>
    <x v="1"/>
  </r>
  <r>
    <x v="280"/>
    <x v="2"/>
    <x v="2"/>
    <x v="0"/>
    <x v="1"/>
    <x v="5"/>
    <x v="2"/>
    <x v="2"/>
    <x v="270"/>
    <x v="5"/>
    <s v="TV"/>
    <x v="1"/>
    <s v="Yes"/>
    <x v="1"/>
  </r>
  <r>
    <x v="281"/>
    <x v="2"/>
    <x v="2"/>
    <x v="2"/>
    <x v="0"/>
    <x v="1"/>
    <x v="9"/>
    <x v="7"/>
    <x v="271"/>
    <x v="1"/>
    <s v="Mobile"/>
    <x v="1"/>
    <s v="Yes"/>
    <x v="1"/>
  </r>
  <r>
    <x v="282"/>
    <x v="18"/>
    <x v="2"/>
    <x v="1"/>
    <x v="0"/>
    <x v="0"/>
    <x v="9"/>
    <x v="0"/>
    <x v="110"/>
    <x v="7"/>
    <s v="Tablet"/>
    <x v="0"/>
    <s v="No"/>
    <x v="3"/>
  </r>
  <r>
    <x v="283"/>
    <x v="11"/>
    <x v="2"/>
    <x v="1"/>
    <x v="0"/>
    <x v="0"/>
    <x v="14"/>
    <x v="6"/>
    <x v="272"/>
    <x v="3"/>
    <s v="Tablet"/>
    <x v="1"/>
    <s v="No"/>
    <x v="2"/>
  </r>
  <r>
    <x v="284"/>
    <x v="2"/>
    <x v="2"/>
    <x v="2"/>
    <x v="2"/>
    <x v="3"/>
    <x v="20"/>
    <x v="4"/>
    <x v="273"/>
    <x v="1"/>
    <s v="Laptop"/>
    <x v="1"/>
    <s v="Yes"/>
    <x v="4"/>
  </r>
  <r>
    <x v="285"/>
    <x v="19"/>
    <x v="2"/>
    <x v="0"/>
    <x v="0"/>
    <x v="2"/>
    <x v="13"/>
    <x v="2"/>
    <x v="274"/>
    <x v="5"/>
    <s v="Laptop"/>
    <x v="0"/>
    <s v="Yes"/>
    <x v="0"/>
  </r>
  <r>
    <x v="286"/>
    <x v="18"/>
    <x v="1"/>
    <x v="0"/>
    <x v="2"/>
    <x v="0"/>
    <x v="3"/>
    <x v="2"/>
    <x v="275"/>
    <x v="5"/>
    <s v="Laptop"/>
    <x v="0"/>
    <s v="Yes"/>
    <x v="4"/>
  </r>
  <r>
    <x v="287"/>
    <x v="18"/>
    <x v="1"/>
    <x v="2"/>
    <x v="1"/>
    <x v="0"/>
    <x v="1"/>
    <x v="5"/>
    <x v="276"/>
    <x v="2"/>
    <s v="TV"/>
    <x v="0"/>
    <s v="Yes"/>
    <x v="4"/>
  </r>
  <r>
    <x v="288"/>
    <x v="19"/>
    <x v="2"/>
    <x v="0"/>
    <x v="0"/>
    <x v="2"/>
    <x v="16"/>
    <x v="6"/>
    <x v="277"/>
    <x v="5"/>
    <s v="Mobile"/>
    <x v="1"/>
    <s v="No"/>
    <x v="1"/>
  </r>
  <r>
    <x v="289"/>
    <x v="11"/>
    <x v="0"/>
    <x v="2"/>
    <x v="2"/>
    <x v="3"/>
    <x v="0"/>
    <x v="4"/>
    <x v="51"/>
    <x v="0"/>
    <s v="TV"/>
    <x v="1"/>
    <s v="No"/>
    <x v="3"/>
  </r>
  <r>
    <x v="290"/>
    <x v="13"/>
    <x v="1"/>
    <x v="2"/>
    <x v="2"/>
    <x v="1"/>
    <x v="22"/>
    <x v="7"/>
    <x v="80"/>
    <x v="5"/>
    <s v="TV"/>
    <x v="0"/>
    <s v="No"/>
    <x v="2"/>
  </r>
  <r>
    <x v="291"/>
    <x v="19"/>
    <x v="2"/>
    <x v="0"/>
    <x v="2"/>
    <x v="5"/>
    <x v="19"/>
    <x v="6"/>
    <x v="136"/>
    <x v="4"/>
    <s v="Mobile"/>
    <x v="0"/>
    <s v="No"/>
    <x v="4"/>
  </r>
  <r>
    <x v="292"/>
    <x v="6"/>
    <x v="1"/>
    <x v="0"/>
    <x v="2"/>
    <x v="5"/>
    <x v="20"/>
    <x v="1"/>
    <x v="278"/>
    <x v="6"/>
    <s v="Laptop"/>
    <x v="1"/>
    <s v="No"/>
    <x v="3"/>
  </r>
  <r>
    <x v="293"/>
    <x v="1"/>
    <x v="1"/>
    <x v="2"/>
    <x v="1"/>
    <x v="5"/>
    <x v="16"/>
    <x v="2"/>
    <x v="167"/>
    <x v="0"/>
    <s v="Tablet"/>
    <x v="0"/>
    <s v="Yes"/>
    <x v="2"/>
  </r>
  <r>
    <x v="294"/>
    <x v="11"/>
    <x v="0"/>
    <x v="1"/>
    <x v="0"/>
    <x v="0"/>
    <x v="15"/>
    <x v="1"/>
    <x v="279"/>
    <x v="1"/>
    <s v="Laptop"/>
    <x v="1"/>
    <s v="No"/>
    <x v="3"/>
  </r>
  <r>
    <x v="295"/>
    <x v="1"/>
    <x v="2"/>
    <x v="2"/>
    <x v="2"/>
    <x v="2"/>
    <x v="4"/>
    <x v="4"/>
    <x v="280"/>
    <x v="3"/>
    <s v="Tablet"/>
    <x v="0"/>
    <s v="No"/>
    <x v="1"/>
  </r>
  <r>
    <x v="296"/>
    <x v="14"/>
    <x v="1"/>
    <x v="0"/>
    <x v="0"/>
    <x v="5"/>
    <x v="8"/>
    <x v="0"/>
    <x v="281"/>
    <x v="2"/>
    <s v="TV"/>
    <x v="1"/>
    <s v="No"/>
    <x v="1"/>
  </r>
  <r>
    <x v="297"/>
    <x v="17"/>
    <x v="1"/>
    <x v="1"/>
    <x v="0"/>
    <x v="1"/>
    <x v="6"/>
    <x v="5"/>
    <x v="282"/>
    <x v="5"/>
    <s v="Laptop"/>
    <x v="1"/>
    <s v="Yes"/>
    <x v="1"/>
  </r>
  <r>
    <x v="298"/>
    <x v="17"/>
    <x v="0"/>
    <x v="2"/>
    <x v="2"/>
    <x v="2"/>
    <x v="11"/>
    <x v="7"/>
    <x v="216"/>
    <x v="3"/>
    <s v="TV"/>
    <x v="1"/>
    <s v="No"/>
    <x v="3"/>
  </r>
  <r>
    <x v="299"/>
    <x v="5"/>
    <x v="0"/>
    <x v="0"/>
    <x v="2"/>
    <x v="0"/>
    <x v="23"/>
    <x v="4"/>
    <x v="283"/>
    <x v="7"/>
    <s v="TV"/>
    <x v="1"/>
    <s v="Yes"/>
    <x v="2"/>
  </r>
  <r>
    <x v="300"/>
    <x v="11"/>
    <x v="1"/>
    <x v="1"/>
    <x v="1"/>
    <x v="2"/>
    <x v="24"/>
    <x v="6"/>
    <x v="284"/>
    <x v="4"/>
    <s v="Mobile"/>
    <x v="1"/>
    <s v="No"/>
    <x v="4"/>
  </r>
  <r>
    <x v="301"/>
    <x v="14"/>
    <x v="0"/>
    <x v="0"/>
    <x v="0"/>
    <x v="1"/>
    <x v="12"/>
    <x v="6"/>
    <x v="171"/>
    <x v="1"/>
    <s v="Mobile"/>
    <x v="1"/>
    <s v="Yes"/>
    <x v="1"/>
  </r>
  <r>
    <x v="302"/>
    <x v="3"/>
    <x v="2"/>
    <x v="1"/>
    <x v="1"/>
    <x v="4"/>
    <x v="2"/>
    <x v="0"/>
    <x v="285"/>
    <x v="3"/>
    <s v="Laptop"/>
    <x v="1"/>
    <s v="No"/>
    <x v="0"/>
  </r>
  <r>
    <x v="303"/>
    <x v="9"/>
    <x v="1"/>
    <x v="2"/>
    <x v="2"/>
    <x v="2"/>
    <x v="24"/>
    <x v="2"/>
    <x v="286"/>
    <x v="2"/>
    <s v="Mobile"/>
    <x v="1"/>
    <s v="Yes"/>
    <x v="4"/>
  </r>
  <r>
    <x v="304"/>
    <x v="17"/>
    <x v="0"/>
    <x v="0"/>
    <x v="1"/>
    <x v="1"/>
    <x v="17"/>
    <x v="3"/>
    <x v="287"/>
    <x v="2"/>
    <s v="Tablet"/>
    <x v="0"/>
    <s v="Yes"/>
    <x v="1"/>
  </r>
  <r>
    <x v="305"/>
    <x v="13"/>
    <x v="1"/>
    <x v="0"/>
    <x v="0"/>
    <x v="2"/>
    <x v="8"/>
    <x v="5"/>
    <x v="288"/>
    <x v="2"/>
    <s v="Tablet"/>
    <x v="1"/>
    <s v="No"/>
    <x v="3"/>
  </r>
  <r>
    <x v="306"/>
    <x v="12"/>
    <x v="2"/>
    <x v="2"/>
    <x v="1"/>
    <x v="5"/>
    <x v="19"/>
    <x v="1"/>
    <x v="289"/>
    <x v="0"/>
    <s v="Mobile"/>
    <x v="1"/>
    <s v="No"/>
    <x v="4"/>
  </r>
  <r>
    <x v="307"/>
    <x v="16"/>
    <x v="0"/>
    <x v="1"/>
    <x v="2"/>
    <x v="0"/>
    <x v="22"/>
    <x v="7"/>
    <x v="290"/>
    <x v="2"/>
    <s v="TV"/>
    <x v="1"/>
    <s v="Yes"/>
    <x v="4"/>
  </r>
  <r>
    <x v="308"/>
    <x v="14"/>
    <x v="1"/>
    <x v="1"/>
    <x v="1"/>
    <x v="2"/>
    <x v="10"/>
    <x v="2"/>
    <x v="291"/>
    <x v="3"/>
    <s v="Tablet"/>
    <x v="1"/>
    <s v="No"/>
    <x v="2"/>
  </r>
  <r>
    <x v="309"/>
    <x v="20"/>
    <x v="1"/>
    <x v="2"/>
    <x v="1"/>
    <x v="1"/>
    <x v="16"/>
    <x v="7"/>
    <x v="292"/>
    <x v="1"/>
    <s v="Tablet"/>
    <x v="1"/>
    <s v="No"/>
    <x v="2"/>
  </r>
  <r>
    <x v="310"/>
    <x v="2"/>
    <x v="2"/>
    <x v="0"/>
    <x v="2"/>
    <x v="1"/>
    <x v="22"/>
    <x v="5"/>
    <x v="293"/>
    <x v="4"/>
    <s v="TV"/>
    <x v="0"/>
    <s v="Yes"/>
    <x v="3"/>
  </r>
  <r>
    <x v="311"/>
    <x v="3"/>
    <x v="2"/>
    <x v="1"/>
    <x v="2"/>
    <x v="5"/>
    <x v="14"/>
    <x v="5"/>
    <x v="294"/>
    <x v="6"/>
    <s v="Mobile"/>
    <x v="1"/>
    <s v="Yes"/>
    <x v="4"/>
  </r>
  <r>
    <x v="312"/>
    <x v="0"/>
    <x v="0"/>
    <x v="1"/>
    <x v="0"/>
    <x v="5"/>
    <x v="21"/>
    <x v="0"/>
    <x v="295"/>
    <x v="5"/>
    <s v="TV"/>
    <x v="1"/>
    <s v="Yes"/>
    <x v="1"/>
  </r>
  <r>
    <x v="313"/>
    <x v="14"/>
    <x v="2"/>
    <x v="2"/>
    <x v="2"/>
    <x v="1"/>
    <x v="8"/>
    <x v="7"/>
    <x v="296"/>
    <x v="4"/>
    <s v="Mobile"/>
    <x v="1"/>
    <s v="No"/>
    <x v="0"/>
  </r>
  <r>
    <x v="314"/>
    <x v="0"/>
    <x v="0"/>
    <x v="1"/>
    <x v="2"/>
    <x v="1"/>
    <x v="25"/>
    <x v="2"/>
    <x v="297"/>
    <x v="4"/>
    <s v="Tablet"/>
    <x v="0"/>
    <s v="Yes"/>
    <x v="2"/>
  </r>
  <r>
    <x v="315"/>
    <x v="9"/>
    <x v="2"/>
    <x v="1"/>
    <x v="2"/>
    <x v="4"/>
    <x v="20"/>
    <x v="6"/>
    <x v="298"/>
    <x v="3"/>
    <s v="Laptop"/>
    <x v="1"/>
    <s v="Yes"/>
    <x v="4"/>
  </r>
  <r>
    <x v="316"/>
    <x v="18"/>
    <x v="0"/>
    <x v="2"/>
    <x v="0"/>
    <x v="0"/>
    <x v="12"/>
    <x v="3"/>
    <x v="299"/>
    <x v="1"/>
    <s v="TV"/>
    <x v="1"/>
    <s v="Yes"/>
    <x v="3"/>
  </r>
  <r>
    <x v="317"/>
    <x v="7"/>
    <x v="2"/>
    <x v="0"/>
    <x v="0"/>
    <x v="3"/>
    <x v="16"/>
    <x v="5"/>
    <x v="300"/>
    <x v="2"/>
    <s v="Tablet"/>
    <x v="1"/>
    <s v="No"/>
    <x v="1"/>
  </r>
  <r>
    <x v="318"/>
    <x v="8"/>
    <x v="2"/>
    <x v="0"/>
    <x v="0"/>
    <x v="4"/>
    <x v="8"/>
    <x v="6"/>
    <x v="301"/>
    <x v="1"/>
    <s v="Laptop"/>
    <x v="0"/>
    <s v="Yes"/>
    <x v="4"/>
  </r>
  <r>
    <x v="319"/>
    <x v="21"/>
    <x v="0"/>
    <x v="1"/>
    <x v="1"/>
    <x v="0"/>
    <x v="21"/>
    <x v="6"/>
    <x v="302"/>
    <x v="5"/>
    <s v="TV"/>
    <x v="0"/>
    <s v="Yes"/>
    <x v="3"/>
  </r>
  <r>
    <x v="320"/>
    <x v="8"/>
    <x v="0"/>
    <x v="2"/>
    <x v="0"/>
    <x v="4"/>
    <x v="0"/>
    <x v="4"/>
    <x v="227"/>
    <x v="5"/>
    <s v="Mobile"/>
    <x v="1"/>
    <s v="No"/>
    <x v="2"/>
  </r>
  <r>
    <x v="321"/>
    <x v="4"/>
    <x v="2"/>
    <x v="1"/>
    <x v="1"/>
    <x v="3"/>
    <x v="8"/>
    <x v="5"/>
    <x v="178"/>
    <x v="4"/>
    <s v="Tablet"/>
    <x v="0"/>
    <s v="Yes"/>
    <x v="2"/>
  </r>
  <r>
    <x v="322"/>
    <x v="16"/>
    <x v="0"/>
    <x v="2"/>
    <x v="0"/>
    <x v="2"/>
    <x v="0"/>
    <x v="3"/>
    <x v="303"/>
    <x v="7"/>
    <s v="Tablet"/>
    <x v="1"/>
    <s v="Yes"/>
    <x v="4"/>
  </r>
  <r>
    <x v="323"/>
    <x v="19"/>
    <x v="1"/>
    <x v="1"/>
    <x v="2"/>
    <x v="1"/>
    <x v="7"/>
    <x v="6"/>
    <x v="304"/>
    <x v="3"/>
    <s v="Mobile"/>
    <x v="0"/>
    <s v="No"/>
    <x v="3"/>
  </r>
  <r>
    <x v="324"/>
    <x v="14"/>
    <x v="1"/>
    <x v="2"/>
    <x v="0"/>
    <x v="2"/>
    <x v="4"/>
    <x v="3"/>
    <x v="305"/>
    <x v="6"/>
    <s v="TV"/>
    <x v="1"/>
    <s v="No"/>
    <x v="2"/>
  </r>
  <r>
    <x v="325"/>
    <x v="19"/>
    <x v="2"/>
    <x v="1"/>
    <x v="1"/>
    <x v="2"/>
    <x v="0"/>
    <x v="1"/>
    <x v="306"/>
    <x v="0"/>
    <s v="Mobile"/>
    <x v="0"/>
    <s v="Yes"/>
    <x v="2"/>
  </r>
  <r>
    <x v="326"/>
    <x v="14"/>
    <x v="2"/>
    <x v="1"/>
    <x v="2"/>
    <x v="5"/>
    <x v="22"/>
    <x v="5"/>
    <x v="307"/>
    <x v="0"/>
    <s v="TV"/>
    <x v="1"/>
    <s v="Yes"/>
    <x v="3"/>
  </r>
  <r>
    <x v="327"/>
    <x v="7"/>
    <x v="2"/>
    <x v="1"/>
    <x v="1"/>
    <x v="4"/>
    <x v="16"/>
    <x v="1"/>
    <x v="308"/>
    <x v="4"/>
    <s v="Mobile"/>
    <x v="0"/>
    <s v="Yes"/>
    <x v="4"/>
  </r>
  <r>
    <x v="328"/>
    <x v="2"/>
    <x v="2"/>
    <x v="2"/>
    <x v="1"/>
    <x v="4"/>
    <x v="0"/>
    <x v="2"/>
    <x v="63"/>
    <x v="5"/>
    <s v="TV"/>
    <x v="0"/>
    <s v="Yes"/>
    <x v="1"/>
  </r>
  <r>
    <x v="329"/>
    <x v="13"/>
    <x v="2"/>
    <x v="0"/>
    <x v="0"/>
    <x v="2"/>
    <x v="23"/>
    <x v="7"/>
    <x v="309"/>
    <x v="3"/>
    <s v="Laptop"/>
    <x v="1"/>
    <s v="Yes"/>
    <x v="4"/>
  </r>
  <r>
    <x v="330"/>
    <x v="20"/>
    <x v="2"/>
    <x v="1"/>
    <x v="1"/>
    <x v="0"/>
    <x v="22"/>
    <x v="1"/>
    <x v="310"/>
    <x v="4"/>
    <s v="Mobile"/>
    <x v="0"/>
    <s v="Yes"/>
    <x v="3"/>
  </r>
  <r>
    <x v="331"/>
    <x v="15"/>
    <x v="0"/>
    <x v="1"/>
    <x v="2"/>
    <x v="1"/>
    <x v="23"/>
    <x v="7"/>
    <x v="311"/>
    <x v="2"/>
    <s v="Mobile"/>
    <x v="0"/>
    <s v="No"/>
    <x v="3"/>
  </r>
  <r>
    <x v="332"/>
    <x v="17"/>
    <x v="2"/>
    <x v="2"/>
    <x v="2"/>
    <x v="3"/>
    <x v="14"/>
    <x v="4"/>
    <x v="312"/>
    <x v="6"/>
    <s v="TV"/>
    <x v="0"/>
    <s v="No"/>
    <x v="4"/>
  </r>
  <r>
    <x v="333"/>
    <x v="0"/>
    <x v="2"/>
    <x v="0"/>
    <x v="1"/>
    <x v="5"/>
    <x v="18"/>
    <x v="6"/>
    <x v="313"/>
    <x v="0"/>
    <s v="TV"/>
    <x v="0"/>
    <s v="No"/>
    <x v="4"/>
  </r>
  <r>
    <x v="334"/>
    <x v="18"/>
    <x v="2"/>
    <x v="1"/>
    <x v="1"/>
    <x v="5"/>
    <x v="5"/>
    <x v="4"/>
    <x v="314"/>
    <x v="7"/>
    <s v="Tablet"/>
    <x v="0"/>
    <s v="Yes"/>
    <x v="3"/>
  </r>
  <r>
    <x v="335"/>
    <x v="8"/>
    <x v="2"/>
    <x v="2"/>
    <x v="2"/>
    <x v="5"/>
    <x v="14"/>
    <x v="7"/>
    <x v="315"/>
    <x v="0"/>
    <s v="Mobile"/>
    <x v="0"/>
    <s v="No"/>
    <x v="0"/>
  </r>
  <r>
    <x v="336"/>
    <x v="14"/>
    <x v="0"/>
    <x v="1"/>
    <x v="1"/>
    <x v="1"/>
    <x v="2"/>
    <x v="3"/>
    <x v="166"/>
    <x v="0"/>
    <s v="Tablet"/>
    <x v="0"/>
    <s v="No"/>
    <x v="4"/>
  </r>
  <r>
    <x v="337"/>
    <x v="11"/>
    <x v="2"/>
    <x v="0"/>
    <x v="1"/>
    <x v="0"/>
    <x v="2"/>
    <x v="0"/>
    <x v="316"/>
    <x v="6"/>
    <s v="Tablet"/>
    <x v="0"/>
    <s v="No"/>
    <x v="2"/>
  </r>
  <r>
    <x v="338"/>
    <x v="21"/>
    <x v="2"/>
    <x v="2"/>
    <x v="2"/>
    <x v="5"/>
    <x v="10"/>
    <x v="2"/>
    <x v="317"/>
    <x v="4"/>
    <s v="Laptop"/>
    <x v="0"/>
    <s v="No"/>
    <x v="1"/>
  </r>
  <r>
    <x v="339"/>
    <x v="8"/>
    <x v="1"/>
    <x v="1"/>
    <x v="2"/>
    <x v="5"/>
    <x v="3"/>
    <x v="3"/>
    <x v="318"/>
    <x v="2"/>
    <s v="Tablet"/>
    <x v="1"/>
    <s v="No"/>
    <x v="0"/>
  </r>
  <r>
    <x v="340"/>
    <x v="12"/>
    <x v="2"/>
    <x v="2"/>
    <x v="1"/>
    <x v="0"/>
    <x v="15"/>
    <x v="5"/>
    <x v="319"/>
    <x v="7"/>
    <s v="Laptop"/>
    <x v="0"/>
    <s v="Yes"/>
    <x v="3"/>
  </r>
  <r>
    <x v="341"/>
    <x v="9"/>
    <x v="1"/>
    <x v="0"/>
    <x v="1"/>
    <x v="0"/>
    <x v="2"/>
    <x v="2"/>
    <x v="320"/>
    <x v="7"/>
    <s v="Mobile"/>
    <x v="1"/>
    <s v="No"/>
    <x v="0"/>
  </r>
  <r>
    <x v="342"/>
    <x v="10"/>
    <x v="1"/>
    <x v="2"/>
    <x v="1"/>
    <x v="2"/>
    <x v="21"/>
    <x v="1"/>
    <x v="321"/>
    <x v="3"/>
    <s v="Mobile"/>
    <x v="0"/>
    <s v="No"/>
    <x v="4"/>
  </r>
  <r>
    <x v="343"/>
    <x v="14"/>
    <x v="0"/>
    <x v="1"/>
    <x v="0"/>
    <x v="2"/>
    <x v="17"/>
    <x v="5"/>
    <x v="322"/>
    <x v="4"/>
    <s v="Mobile"/>
    <x v="1"/>
    <s v="Yes"/>
    <x v="2"/>
  </r>
  <r>
    <x v="344"/>
    <x v="6"/>
    <x v="0"/>
    <x v="2"/>
    <x v="1"/>
    <x v="0"/>
    <x v="17"/>
    <x v="3"/>
    <x v="323"/>
    <x v="5"/>
    <s v="Laptop"/>
    <x v="1"/>
    <s v="Yes"/>
    <x v="4"/>
  </r>
  <r>
    <x v="345"/>
    <x v="17"/>
    <x v="1"/>
    <x v="0"/>
    <x v="0"/>
    <x v="0"/>
    <x v="16"/>
    <x v="5"/>
    <x v="324"/>
    <x v="1"/>
    <s v="Tablet"/>
    <x v="0"/>
    <s v="No"/>
    <x v="0"/>
  </r>
  <r>
    <x v="346"/>
    <x v="10"/>
    <x v="1"/>
    <x v="0"/>
    <x v="2"/>
    <x v="4"/>
    <x v="7"/>
    <x v="2"/>
    <x v="325"/>
    <x v="0"/>
    <s v="Laptop"/>
    <x v="0"/>
    <s v="Yes"/>
    <x v="3"/>
  </r>
  <r>
    <x v="347"/>
    <x v="17"/>
    <x v="1"/>
    <x v="1"/>
    <x v="0"/>
    <x v="1"/>
    <x v="17"/>
    <x v="5"/>
    <x v="326"/>
    <x v="3"/>
    <s v="TV"/>
    <x v="1"/>
    <s v="Yes"/>
    <x v="0"/>
  </r>
  <r>
    <x v="348"/>
    <x v="19"/>
    <x v="0"/>
    <x v="2"/>
    <x v="1"/>
    <x v="0"/>
    <x v="8"/>
    <x v="5"/>
    <x v="327"/>
    <x v="6"/>
    <s v="TV"/>
    <x v="0"/>
    <s v="No"/>
    <x v="1"/>
  </r>
  <r>
    <x v="349"/>
    <x v="15"/>
    <x v="0"/>
    <x v="2"/>
    <x v="0"/>
    <x v="4"/>
    <x v="14"/>
    <x v="1"/>
    <x v="328"/>
    <x v="0"/>
    <s v="TV"/>
    <x v="0"/>
    <s v="Yes"/>
    <x v="1"/>
  </r>
  <r>
    <x v="350"/>
    <x v="8"/>
    <x v="2"/>
    <x v="0"/>
    <x v="1"/>
    <x v="5"/>
    <x v="11"/>
    <x v="4"/>
    <x v="329"/>
    <x v="3"/>
    <s v="Mobile"/>
    <x v="1"/>
    <s v="No"/>
    <x v="0"/>
  </r>
  <r>
    <x v="351"/>
    <x v="22"/>
    <x v="0"/>
    <x v="0"/>
    <x v="1"/>
    <x v="2"/>
    <x v="6"/>
    <x v="1"/>
    <x v="275"/>
    <x v="0"/>
    <s v="Tablet"/>
    <x v="1"/>
    <s v="No"/>
    <x v="1"/>
  </r>
  <r>
    <x v="352"/>
    <x v="21"/>
    <x v="1"/>
    <x v="1"/>
    <x v="2"/>
    <x v="3"/>
    <x v="10"/>
    <x v="5"/>
    <x v="330"/>
    <x v="1"/>
    <s v="TV"/>
    <x v="0"/>
    <s v="Yes"/>
    <x v="1"/>
  </r>
  <r>
    <x v="353"/>
    <x v="2"/>
    <x v="0"/>
    <x v="2"/>
    <x v="0"/>
    <x v="1"/>
    <x v="12"/>
    <x v="3"/>
    <x v="331"/>
    <x v="5"/>
    <s v="Mobile"/>
    <x v="0"/>
    <s v="No"/>
    <x v="1"/>
  </r>
  <r>
    <x v="354"/>
    <x v="0"/>
    <x v="0"/>
    <x v="1"/>
    <x v="1"/>
    <x v="2"/>
    <x v="4"/>
    <x v="6"/>
    <x v="332"/>
    <x v="0"/>
    <s v="Mobile"/>
    <x v="0"/>
    <s v="Yes"/>
    <x v="3"/>
  </r>
  <r>
    <x v="355"/>
    <x v="5"/>
    <x v="0"/>
    <x v="1"/>
    <x v="2"/>
    <x v="4"/>
    <x v="7"/>
    <x v="4"/>
    <x v="333"/>
    <x v="5"/>
    <s v="Tablet"/>
    <x v="1"/>
    <s v="Yes"/>
    <x v="1"/>
  </r>
  <r>
    <x v="356"/>
    <x v="17"/>
    <x v="0"/>
    <x v="2"/>
    <x v="1"/>
    <x v="5"/>
    <x v="22"/>
    <x v="0"/>
    <x v="334"/>
    <x v="3"/>
    <s v="Mobile"/>
    <x v="1"/>
    <s v="Yes"/>
    <x v="1"/>
  </r>
  <r>
    <x v="357"/>
    <x v="16"/>
    <x v="1"/>
    <x v="0"/>
    <x v="2"/>
    <x v="4"/>
    <x v="15"/>
    <x v="1"/>
    <x v="335"/>
    <x v="5"/>
    <s v="Mobile"/>
    <x v="1"/>
    <s v="Yes"/>
    <x v="0"/>
  </r>
  <r>
    <x v="358"/>
    <x v="6"/>
    <x v="1"/>
    <x v="1"/>
    <x v="1"/>
    <x v="1"/>
    <x v="14"/>
    <x v="5"/>
    <x v="336"/>
    <x v="7"/>
    <s v="Mobile"/>
    <x v="0"/>
    <s v="Yes"/>
    <x v="4"/>
  </r>
  <r>
    <x v="359"/>
    <x v="19"/>
    <x v="2"/>
    <x v="2"/>
    <x v="1"/>
    <x v="3"/>
    <x v="18"/>
    <x v="5"/>
    <x v="337"/>
    <x v="1"/>
    <s v="TV"/>
    <x v="0"/>
    <s v="No"/>
    <x v="1"/>
  </r>
  <r>
    <x v="360"/>
    <x v="0"/>
    <x v="0"/>
    <x v="0"/>
    <x v="1"/>
    <x v="2"/>
    <x v="10"/>
    <x v="3"/>
    <x v="253"/>
    <x v="0"/>
    <s v="Laptop"/>
    <x v="0"/>
    <s v="No"/>
    <x v="3"/>
  </r>
  <r>
    <x v="361"/>
    <x v="0"/>
    <x v="1"/>
    <x v="0"/>
    <x v="2"/>
    <x v="3"/>
    <x v="7"/>
    <x v="3"/>
    <x v="338"/>
    <x v="6"/>
    <s v="TV"/>
    <x v="1"/>
    <s v="Yes"/>
    <x v="0"/>
  </r>
  <r>
    <x v="362"/>
    <x v="8"/>
    <x v="2"/>
    <x v="2"/>
    <x v="0"/>
    <x v="1"/>
    <x v="6"/>
    <x v="7"/>
    <x v="339"/>
    <x v="6"/>
    <s v="Tablet"/>
    <x v="1"/>
    <s v="No"/>
    <x v="2"/>
  </r>
  <r>
    <x v="363"/>
    <x v="4"/>
    <x v="1"/>
    <x v="1"/>
    <x v="2"/>
    <x v="4"/>
    <x v="21"/>
    <x v="2"/>
    <x v="340"/>
    <x v="3"/>
    <s v="TV"/>
    <x v="0"/>
    <s v="Yes"/>
    <x v="1"/>
  </r>
  <r>
    <x v="364"/>
    <x v="4"/>
    <x v="2"/>
    <x v="1"/>
    <x v="0"/>
    <x v="0"/>
    <x v="9"/>
    <x v="7"/>
    <x v="341"/>
    <x v="6"/>
    <s v="Tablet"/>
    <x v="1"/>
    <s v="No"/>
    <x v="4"/>
  </r>
  <r>
    <x v="365"/>
    <x v="16"/>
    <x v="0"/>
    <x v="2"/>
    <x v="1"/>
    <x v="3"/>
    <x v="23"/>
    <x v="5"/>
    <x v="342"/>
    <x v="4"/>
    <s v="Laptop"/>
    <x v="1"/>
    <s v="Yes"/>
    <x v="2"/>
  </r>
  <r>
    <x v="366"/>
    <x v="1"/>
    <x v="1"/>
    <x v="2"/>
    <x v="2"/>
    <x v="5"/>
    <x v="18"/>
    <x v="3"/>
    <x v="343"/>
    <x v="3"/>
    <s v="TV"/>
    <x v="1"/>
    <s v="Yes"/>
    <x v="2"/>
  </r>
  <r>
    <x v="367"/>
    <x v="3"/>
    <x v="1"/>
    <x v="1"/>
    <x v="0"/>
    <x v="4"/>
    <x v="16"/>
    <x v="0"/>
    <x v="344"/>
    <x v="5"/>
    <s v="TV"/>
    <x v="0"/>
    <s v="Yes"/>
    <x v="1"/>
  </r>
  <r>
    <x v="368"/>
    <x v="9"/>
    <x v="0"/>
    <x v="1"/>
    <x v="0"/>
    <x v="1"/>
    <x v="22"/>
    <x v="2"/>
    <x v="345"/>
    <x v="6"/>
    <s v="TV"/>
    <x v="0"/>
    <s v="Yes"/>
    <x v="1"/>
  </r>
  <r>
    <x v="369"/>
    <x v="13"/>
    <x v="2"/>
    <x v="0"/>
    <x v="0"/>
    <x v="0"/>
    <x v="14"/>
    <x v="3"/>
    <x v="346"/>
    <x v="7"/>
    <s v="Tablet"/>
    <x v="1"/>
    <s v="No"/>
    <x v="0"/>
  </r>
  <r>
    <x v="370"/>
    <x v="19"/>
    <x v="0"/>
    <x v="2"/>
    <x v="1"/>
    <x v="0"/>
    <x v="17"/>
    <x v="5"/>
    <x v="347"/>
    <x v="2"/>
    <s v="Laptop"/>
    <x v="1"/>
    <s v="No"/>
    <x v="0"/>
  </r>
  <r>
    <x v="371"/>
    <x v="3"/>
    <x v="1"/>
    <x v="1"/>
    <x v="2"/>
    <x v="1"/>
    <x v="21"/>
    <x v="1"/>
    <x v="348"/>
    <x v="7"/>
    <s v="TV"/>
    <x v="1"/>
    <s v="No"/>
    <x v="2"/>
  </r>
  <r>
    <x v="372"/>
    <x v="9"/>
    <x v="2"/>
    <x v="0"/>
    <x v="0"/>
    <x v="3"/>
    <x v="18"/>
    <x v="5"/>
    <x v="349"/>
    <x v="1"/>
    <s v="Laptop"/>
    <x v="0"/>
    <s v="Yes"/>
    <x v="3"/>
  </r>
  <r>
    <x v="373"/>
    <x v="3"/>
    <x v="1"/>
    <x v="0"/>
    <x v="2"/>
    <x v="2"/>
    <x v="3"/>
    <x v="0"/>
    <x v="350"/>
    <x v="6"/>
    <s v="Tablet"/>
    <x v="1"/>
    <s v="Yes"/>
    <x v="2"/>
  </r>
  <r>
    <x v="374"/>
    <x v="10"/>
    <x v="0"/>
    <x v="0"/>
    <x v="0"/>
    <x v="1"/>
    <x v="25"/>
    <x v="2"/>
    <x v="288"/>
    <x v="4"/>
    <s v="Mobile"/>
    <x v="0"/>
    <s v="Yes"/>
    <x v="4"/>
  </r>
  <r>
    <x v="375"/>
    <x v="2"/>
    <x v="2"/>
    <x v="2"/>
    <x v="1"/>
    <x v="0"/>
    <x v="19"/>
    <x v="6"/>
    <x v="351"/>
    <x v="2"/>
    <s v="Mobile"/>
    <x v="0"/>
    <s v="No"/>
    <x v="1"/>
  </r>
  <r>
    <x v="376"/>
    <x v="9"/>
    <x v="0"/>
    <x v="1"/>
    <x v="1"/>
    <x v="1"/>
    <x v="23"/>
    <x v="2"/>
    <x v="352"/>
    <x v="2"/>
    <s v="Laptop"/>
    <x v="1"/>
    <s v="No"/>
    <x v="3"/>
  </r>
  <r>
    <x v="377"/>
    <x v="9"/>
    <x v="2"/>
    <x v="1"/>
    <x v="0"/>
    <x v="3"/>
    <x v="21"/>
    <x v="6"/>
    <x v="25"/>
    <x v="1"/>
    <s v="Tablet"/>
    <x v="0"/>
    <s v="Yes"/>
    <x v="3"/>
  </r>
  <r>
    <x v="378"/>
    <x v="2"/>
    <x v="0"/>
    <x v="2"/>
    <x v="1"/>
    <x v="3"/>
    <x v="23"/>
    <x v="0"/>
    <x v="353"/>
    <x v="6"/>
    <s v="Laptop"/>
    <x v="0"/>
    <s v="No"/>
    <x v="1"/>
  </r>
  <r>
    <x v="379"/>
    <x v="15"/>
    <x v="1"/>
    <x v="2"/>
    <x v="2"/>
    <x v="1"/>
    <x v="20"/>
    <x v="4"/>
    <x v="354"/>
    <x v="5"/>
    <s v="TV"/>
    <x v="0"/>
    <s v="No"/>
    <x v="2"/>
  </r>
  <r>
    <x v="380"/>
    <x v="14"/>
    <x v="0"/>
    <x v="1"/>
    <x v="1"/>
    <x v="5"/>
    <x v="19"/>
    <x v="1"/>
    <x v="355"/>
    <x v="2"/>
    <s v="Laptop"/>
    <x v="0"/>
    <s v="Yes"/>
    <x v="3"/>
  </r>
  <r>
    <x v="381"/>
    <x v="10"/>
    <x v="0"/>
    <x v="1"/>
    <x v="1"/>
    <x v="1"/>
    <x v="10"/>
    <x v="7"/>
    <x v="356"/>
    <x v="5"/>
    <s v="TV"/>
    <x v="0"/>
    <s v="Yes"/>
    <x v="1"/>
  </r>
  <r>
    <x v="382"/>
    <x v="20"/>
    <x v="2"/>
    <x v="2"/>
    <x v="2"/>
    <x v="5"/>
    <x v="6"/>
    <x v="7"/>
    <x v="357"/>
    <x v="2"/>
    <s v="Tablet"/>
    <x v="0"/>
    <s v="No"/>
    <x v="0"/>
  </r>
  <r>
    <x v="383"/>
    <x v="6"/>
    <x v="0"/>
    <x v="1"/>
    <x v="1"/>
    <x v="5"/>
    <x v="15"/>
    <x v="4"/>
    <x v="358"/>
    <x v="2"/>
    <s v="TV"/>
    <x v="1"/>
    <s v="No"/>
    <x v="4"/>
  </r>
  <r>
    <x v="384"/>
    <x v="14"/>
    <x v="2"/>
    <x v="2"/>
    <x v="0"/>
    <x v="3"/>
    <x v="22"/>
    <x v="3"/>
    <x v="359"/>
    <x v="5"/>
    <s v="TV"/>
    <x v="0"/>
    <s v="Yes"/>
    <x v="3"/>
  </r>
  <r>
    <x v="385"/>
    <x v="17"/>
    <x v="0"/>
    <x v="1"/>
    <x v="1"/>
    <x v="4"/>
    <x v="6"/>
    <x v="0"/>
    <x v="360"/>
    <x v="0"/>
    <s v="TV"/>
    <x v="0"/>
    <s v="No"/>
    <x v="2"/>
  </r>
  <r>
    <x v="386"/>
    <x v="1"/>
    <x v="2"/>
    <x v="2"/>
    <x v="1"/>
    <x v="5"/>
    <x v="3"/>
    <x v="5"/>
    <x v="361"/>
    <x v="3"/>
    <s v="Laptop"/>
    <x v="1"/>
    <s v="No"/>
    <x v="4"/>
  </r>
  <r>
    <x v="387"/>
    <x v="21"/>
    <x v="2"/>
    <x v="0"/>
    <x v="0"/>
    <x v="5"/>
    <x v="1"/>
    <x v="3"/>
    <x v="362"/>
    <x v="4"/>
    <s v="Mobile"/>
    <x v="1"/>
    <s v="Yes"/>
    <x v="1"/>
  </r>
  <r>
    <x v="388"/>
    <x v="0"/>
    <x v="2"/>
    <x v="1"/>
    <x v="2"/>
    <x v="0"/>
    <x v="18"/>
    <x v="1"/>
    <x v="22"/>
    <x v="5"/>
    <s v="Laptop"/>
    <x v="0"/>
    <s v="Yes"/>
    <x v="2"/>
  </r>
  <r>
    <x v="389"/>
    <x v="1"/>
    <x v="1"/>
    <x v="1"/>
    <x v="2"/>
    <x v="2"/>
    <x v="7"/>
    <x v="3"/>
    <x v="363"/>
    <x v="1"/>
    <s v="Tablet"/>
    <x v="1"/>
    <s v="Yes"/>
    <x v="1"/>
  </r>
  <r>
    <x v="390"/>
    <x v="5"/>
    <x v="0"/>
    <x v="2"/>
    <x v="0"/>
    <x v="5"/>
    <x v="25"/>
    <x v="5"/>
    <x v="364"/>
    <x v="7"/>
    <s v="Mobile"/>
    <x v="1"/>
    <s v="No"/>
    <x v="1"/>
  </r>
  <r>
    <x v="391"/>
    <x v="4"/>
    <x v="2"/>
    <x v="0"/>
    <x v="2"/>
    <x v="4"/>
    <x v="24"/>
    <x v="4"/>
    <x v="365"/>
    <x v="3"/>
    <s v="Tablet"/>
    <x v="0"/>
    <s v="No"/>
    <x v="1"/>
  </r>
  <r>
    <x v="392"/>
    <x v="1"/>
    <x v="1"/>
    <x v="2"/>
    <x v="0"/>
    <x v="2"/>
    <x v="16"/>
    <x v="1"/>
    <x v="366"/>
    <x v="7"/>
    <s v="Mobile"/>
    <x v="1"/>
    <s v="Yes"/>
    <x v="3"/>
  </r>
  <r>
    <x v="393"/>
    <x v="16"/>
    <x v="0"/>
    <x v="2"/>
    <x v="0"/>
    <x v="4"/>
    <x v="4"/>
    <x v="7"/>
    <x v="14"/>
    <x v="7"/>
    <s v="Laptop"/>
    <x v="1"/>
    <s v="Yes"/>
    <x v="0"/>
  </r>
  <r>
    <x v="394"/>
    <x v="8"/>
    <x v="0"/>
    <x v="2"/>
    <x v="0"/>
    <x v="2"/>
    <x v="1"/>
    <x v="3"/>
    <x v="367"/>
    <x v="1"/>
    <s v="Laptop"/>
    <x v="0"/>
    <s v="No"/>
    <x v="3"/>
  </r>
  <r>
    <x v="395"/>
    <x v="14"/>
    <x v="0"/>
    <x v="2"/>
    <x v="1"/>
    <x v="4"/>
    <x v="12"/>
    <x v="6"/>
    <x v="368"/>
    <x v="3"/>
    <s v="Tablet"/>
    <x v="1"/>
    <s v="No"/>
    <x v="2"/>
  </r>
  <r>
    <x v="396"/>
    <x v="13"/>
    <x v="0"/>
    <x v="2"/>
    <x v="2"/>
    <x v="4"/>
    <x v="21"/>
    <x v="3"/>
    <x v="369"/>
    <x v="4"/>
    <s v="Mobile"/>
    <x v="1"/>
    <s v="No"/>
    <x v="4"/>
  </r>
  <r>
    <x v="397"/>
    <x v="6"/>
    <x v="2"/>
    <x v="2"/>
    <x v="0"/>
    <x v="4"/>
    <x v="17"/>
    <x v="0"/>
    <x v="370"/>
    <x v="6"/>
    <s v="TV"/>
    <x v="0"/>
    <s v="Yes"/>
    <x v="0"/>
  </r>
  <r>
    <x v="398"/>
    <x v="8"/>
    <x v="0"/>
    <x v="1"/>
    <x v="2"/>
    <x v="5"/>
    <x v="1"/>
    <x v="5"/>
    <x v="371"/>
    <x v="4"/>
    <s v="TV"/>
    <x v="0"/>
    <s v="No"/>
    <x v="1"/>
  </r>
  <r>
    <x v="399"/>
    <x v="13"/>
    <x v="0"/>
    <x v="1"/>
    <x v="2"/>
    <x v="1"/>
    <x v="3"/>
    <x v="1"/>
    <x v="372"/>
    <x v="7"/>
    <s v="TV"/>
    <x v="1"/>
    <s v="No"/>
    <x v="0"/>
  </r>
  <r>
    <x v="400"/>
    <x v="12"/>
    <x v="1"/>
    <x v="2"/>
    <x v="0"/>
    <x v="3"/>
    <x v="25"/>
    <x v="5"/>
    <x v="373"/>
    <x v="1"/>
    <s v="Tablet"/>
    <x v="1"/>
    <s v="Yes"/>
    <x v="3"/>
  </r>
  <r>
    <x v="401"/>
    <x v="14"/>
    <x v="0"/>
    <x v="0"/>
    <x v="2"/>
    <x v="4"/>
    <x v="15"/>
    <x v="2"/>
    <x v="374"/>
    <x v="7"/>
    <s v="Tablet"/>
    <x v="1"/>
    <s v="No"/>
    <x v="4"/>
  </r>
  <r>
    <x v="402"/>
    <x v="6"/>
    <x v="0"/>
    <x v="2"/>
    <x v="0"/>
    <x v="3"/>
    <x v="21"/>
    <x v="3"/>
    <x v="375"/>
    <x v="2"/>
    <s v="Tablet"/>
    <x v="0"/>
    <s v="No"/>
    <x v="4"/>
  </r>
  <r>
    <x v="403"/>
    <x v="18"/>
    <x v="1"/>
    <x v="2"/>
    <x v="2"/>
    <x v="2"/>
    <x v="19"/>
    <x v="6"/>
    <x v="376"/>
    <x v="5"/>
    <s v="Mobile"/>
    <x v="1"/>
    <s v="Yes"/>
    <x v="0"/>
  </r>
  <r>
    <x v="404"/>
    <x v="10"/>
    <x v="0"/>
    <x v="1"/>
    <x v="2"/>
    <x v="2"/>
    <x v="21"/>
    <x v="4"/>
    <x v="377"/>
    <x v="6"/>
    <s v="Mobile"/>
    <x v="1"/>
    <s v="No"/>
    <x v="1"/>
  </r>
  <r>
    <x v="405"/>
    <x v="12"/>
    <x v="1"/>
    <x v="1"/>
    <x v="2"/>
    <x v="0"/>
    <x v="6"/>
    <x v="1"/>
    <x v="378"/>
    <x v="0"/>
    <s v="Mobile"/>
    <x v="0"/>
    <s v="No"/>
    <x v="3"/>
  </r>
  <r>
    <x v="406"/>
    <x v="22"/>
    <x v="1"/>
    <x v="1"/>
    <x v="1"/>
    <x v="0"/>
    <x v="11"/>
    <x v="1"/>
    <x v="379"/>
    <x v="2"/>
    <s v="Tablet"/>
    <x v="1"/>
    <s v="No"/>
    <x v="0"/>
  </r>
  <r>
    <x v="407"/>
    <x v="20"/>
    <x v="0"/>
    <x v="2"/>
    <x v="0"/>
    <x v="0"/>
    <x v="25"/>
    <x v="5"/>
    <x v="328"/>
    <x v="0"/>
    <s v="Laptop"/>
    <x v="0"/>
    <s v="No"/>
    <x v="2"/>
  </r>
  <r>
    <x v="408"/>
    <x v="7"/>
    <x v="1"/>
    <x v="0"/>
    <x v="0"/>
    <x v="4"/>
    <x v="0"/>
    <x v="0"/>
    <x v="380"/>
    <x v="0"/>
    <s v="TV"/>
    <x v="0"/>
    <s v="Yes"/>
    <x v="4"/>
  </r>
  <r>
    <x v="409"/>
    <x v="0"/>
    <x v="0"/>
    <x v="2"/>
    <x v="2"/>
    <x v="4"/>
    <x v="16"/>
    <x v="2"/>
    <x v="381"/>
    <x v="4"/>
    <s v="Laptop"/>
    <x v="0"/>
    <s v="Yes"/>
    <x v="3"/>
  </r>
  <r>
    <x v="410"/>
    <x v="8"/>
    <x v="2"/>
    <x v="2"/>
    <x v="2"/>
    <x v="5"/>
    <x v="5"/>
    <x v="4"/>
    <x v="382"/>
    <x v="4"/>
    <s v="Laptop"/>
    <x v="1"/>
    <s v="No"/>
    <x v="4"/>
  </r>
  <r>
    <x v="411"/>
    <x v="15"/>
    <x v="2"/>
    <x v="1"/>
    <x v="2"/>
    <x v="5"/>
    <x v="6"/>
    <x v="3"/>
    <x v="383"/>
    <x v="0"/>
    <s v="Tablet"/>
    <x v="1"/>
    <s v="No"/>
    <x v="1"/>
  </r>
  <r>
    <x v="412"/>
    <x v="20"/>
    <x v="0"/>
    <x v="0"/>
    <x v="1"/>
    <x v="1"/>
    <x v="19"/>
    <x v="7"/>
    <x v="384"/>
    <x v="2"/>
    <s v="Tablet"/>
    <x v="0"/>
    <s v="No"/>
    <x v="0"/>
  </r>
  <r>
    <x v="413"/>
    <x v="13"/>
    <x v="2"/>
    <x v="2"/>
    <x v="0"/>
    <x v="3"/>
    <x v="13"/>
    <x v="7"/>
    <x v="385"/>
    <x v="1"/>
    <s v="Tablet"/>
    <x v="1"/>
    <s v="No"/>
    <x v="4"/>
  </r>
  <r>
    <x v="414"/>
    <x v="22"/>
    <x v="2"/>
    <x v="0"/>
    <x v="2"/>
    <x v="3"/>
    <x v="25"/>
    <x v="1"/>
    <x v="386"/>
    <x v="1"/>
    <s v="TV"/>
    <x v="1"/>
    <s v="No"/>
    <x v="4"/>
  </r>
  <r>
    <x v="415"/>
    <x v="20"/>
    <x v="0"/>
    <x v="1"/>
    <x v="0"/>
    <x v="0"/>
    <x v="1"/>
    <x v="4"/>
    <x v="387"/>
    <x v="6"/>
    <s v="TV"/>
    <x v="1"/>
    <s v="Yes"/>
    <x v="3"/>
  </r>
  <r>
    <x v="416"/>
    <x v="18"/>
    <x v="1"/>
    <x v="0"/>
    <x v="0"/>
    <x v="3"/>
    <x v="18"/>
    <x v="5"/>
    <x v="388"/>
    <x v="2"/>
    <s v="Laptop"/>
    <x v="1"/>
    <s v="Yes"/>
    <x v="2"/>
  </r>
  <r>
    <x v="417"/>
    <x v="22"/>
    <x v="2"/>
    <x v="0"/>
    <x v="2"/>
    <x v="4"/>
    <x v="4"/>
    <x v="5"/>
    <x v="389"/>
    <x v="6"/>
    <s v="TV"/>
    <x v="1"/>
    <s v="Yes"/>
    <x v="2"/>
  </r>
  <r>
    <x v="418"/>
    <x v="18"/>
    <x v="2"/>
    <x v="1"/>
    <x v="0"/>
    <x v="5"/>
    <x v="4"/>
    <x v="4"/>
    <x v="390"/>
    <x v="4"/>
    <s v="Laptop"/>
    <x v="1"/>
    <s v="No"/>
    <x v="2"/>
  </r>
  <r>
    <x v="419"/>
    <x v="21"/>
    <x v="2"/>
    <x v="1"/>
    <x v="0"/>
    <x v="0"/>
    <x v="0"/>
    <x v="6"/>
    <x v="391"/>
    <x v="1"/>
    <s v="Tablet"/>
    <x v="0"/>
    <s v="Yes"/>
    <x v="3"/>
  </r>
  <r>
    <x v="420"/>
    <x v="13"/>
    <x v="2"/>
    <x v="0"/>
    <x v="1"/>
    <x v="0"/>
    <x v="16"/>
    <x v="6"/>
    <x v="392"/>
    <x v="0"/>
    <s v="TV"/>
    <x v="1"/>
    <s v="No"/>
    <x v="0"/>
  </r>
  <r>
    <x v="421"/>
    <x v="11"/>
    <x v="0"/>
    <x v="0"/>
    <x v="1"/>
    <x v="4"/>
    <x v="5"/>
    <x v="7"/>
    <x v="393"/>
    <x v="3"/>
    <s v="Laptop"/>
    <x v="1"/>
    <s v="Yes"/>
    <x v="3"/>
  </r>
  <r>
    <x v="422"/>
    <x v="17"/>
    <x v="0"/>
    <x v="2"/>
    <x v="1"/>
    <x v="4"/>
    <x v="15"/>
    <x v="2"/>
    <x v="394"/>
    <x v="7"/>
    <s v="Mobile"/>
    <x v="0"/>
    <s v="Yes"/>
    <x v="2"/>
  </r>
  <r>
    <x v="423"/>
    <x v="13"/>
    <x v="2"/>
    <x v="2"/>
    <x v="0"/>
    <x v="3"/>
    <x v="4"/>
    <x v="7"/>
    <x v="335"/>
    <x v="4"/>
    <s v="Mobile"/>
    <x v="0"/>
    <s v="No"/>
    <x v="1"/>
  </r>
  <r>
    <x v="424"/>
    <x v="22"/>
    <x v="2"/>
    <x v="2"/>
    <x v="0"/>
    <x v="3"/>
    <x v="11"/>
    <x v="1"/>
    <x v="395"/>
    <x v="7"/>
    <s v="Laptop"/>
    <x v="1"/>
    <s v="Yes"/>
    <x v="0"/>
  </r>
  <r>
    <x v="425"/>
    <x v="13"/>
    <x v="2"/>
    <x v="2"/>
    <x v="1"/>
    <x v="4"/>
    <x v="2"/>
    <x v="3"/>
    <x v="396"/>
    <x v="4"/>
    <s v="TV"/>
    <x v="1"/>
    <s v="No"/>
    <x v="1"/>
  </r>
  <r>
    <x v="426"/>
    <x v="5"/>
    <x v="0"/>
    <x v="2"/>
    <x v="0"/>
    <x v="4"/>
    <x v="3"/>
    <x v="5"/>
    <x v="397"/>
    <x v="2"/>
    <s v="TV"/>
    <x v="1"/>
    <s v="Yes"/>
    <x v="3"/>
  </r>
  <r>
    <x v="427"/>
    <x v="0"/>
    <x v="0"/>
    <x v="2"/>
    <x v="2"/>
    <x v="5"/>
    <x v="10"/>
    <x v="3"/>
    <x v="398"/>
    <x v="7"/>
    <s v="Mobile"/>
    <x v="1"/>
    <s v="Yes"/>
    <x v="3"/>
  </r>
  <r>
    <x v="428"/>
    <x v="15"/>
    <x v="0"/>
    <x v="2"/>
    <x v="2"/>
    <x v="2"/>
    <x v="22"/>
    <x v="1"/>
    <x v="399"/>
    <x v="7"/>
    <s v="Mobile"/>
    <x v="0"/>
    <s v="Yes"/>
    <x v="1"/>
  </r>
  <r>
    <x v="429"/>
    <x v="19"/>
    <x v="0"/>
    <x v="0"/>
    <x v="2"/>
    <x v="1"/>
    <x v="8"/>
    <x v="0"/>
    <x v="11"/>
    <x v="3"/>
    <s v="Tablet"/>
    <x v="1"/>
    <s v="No"/>
    <x v="2"/>
  </r>
  <r>
    <x v="430"/>
    <x v="19"/>
    <x v="1"/>
    <x v="0"/>
    <x v="0"/>
    <x v="1"/>
    <x v="5"/>
    <x v="4"/>
    <x v="400"/>
    <x v="0"/>
    <s v="Tablet"/>
    <x v="0"/>
    <s v="No"/>
    <x v="1"/>
  </r>
  <r>
    <x v="431"/>
    <x v="6"/>
    <x v="1"/>
    <x v="0"/>
    <x v="1"/>
    <x v="2"/>
    <x v="9"/>
    <x v="6"/>
    <x v="401"/>
    <x v="0"/>
    <s v="TV"/>
    <x v="0"/>
    <s v="Yes"/>
    <x v="0"/>
  </r>
  <r>
    <x v="432"/>
    <x v="15"/>
    <x v="1"/>
    <x v="1"/>
    <x v="0"/>
    <x v="1"/>
    <x v="0"/>
    <x v="3"/>
    <x v="402"/>
    <x v="4"/>
    <s v="Tablet"/>
    <x v="0"/>
    <s v="No"/>
    <x v="3"/>
  </r>
  <r>
    <x v="433"/>
    <x v="8"/>
    <x v="0"/>
    <x v="0"/>
    <x v="0"/>
    <x v="5"/>
    <x v="24"/>
    <x v="1"/>
    <x v="403"/>
    <x v="7"/>
    <s v="Laptop"/>
    <x v="1"/>
    <s v="No"/>
    <x v="4"/>
  </r>
  <r>
    <x v="434"/>
    <x v="18"/>
    <x v="2"/>
    <x v="2"/>
    <x v="2"/>
    <x v="0"/>
    <x v="7"/>
    <x v="7"/>
    <x v="404"/>
    <x v="1"/>
    <s v="Laptop"/>
    <x v="1"/>
    <s v="No"/>
    <x v="0"/>
  </r>
  <r>
    <x v="435"/>
    <x v="3"/>
    <x v="0"/>
    <x v="2"/>
    <x v="0"/>
    <x v="2"/>
    <x v="24"/>
    <x v="6"/>
    <x v="405"/>
    <x v="4"/>
    <s v="TV"/>
    <x v="0"/>
    <s v="No"/>
    <x v="4"/>
  </r>
  <r>
    <x v="436"/>
    <x v="22"/>
    <x v="1"/>
    <x v="1"/>
    <x v="1"/>
    <x v="5"/>
    <x v="1"/>
    <x v="2"/>
    <x v="406"/>
    <x v="0"/>
    <s v="Mobile"/>
    <x v="1"/>
    <s v="No"/>
    <x v="2"/>
  </r>
  <r>
    <x v="437"/>
    <x v="14"/>
    <x v="1"/>
    <x v="0"/>
    <x v="0"/>
    <x v="2"/>
    <x v="8"/>
    <x v="5"/>
    <x v="80"/>
    <x v="0"/>
    <s v="Tablet"/>
    <x v="0"/>
    <s v="Yes"/>
    <x v="0"/>
  </r>
  <r>
    <x v="438"/>
    <x v="18"/>
    <x v="2"/>
    <x v="2"/>
    <x v="1"/>
    <x v="5"/>
    <x v="15"/>
    <x v="0"/>
    <x v="407"/>
    <x v="2"/>
    <s v="Mobile"/>
    <x v="1"/>
    <s v="Yes"/>
    <x v="3"/>
  </r>
  <r>
    <x v="439"/>
    <x v="19"/>
    <x v="2"/>
    <x v="1"/>
    <x v="0"/>
    <x v="1"/>
    <x v="12"/>
    <x v="6"/>
    <x v="408"/>
    <x v="5"/>
    <s v="Mobile"/>
    <x v="1"/>
    <s v="Yes"/>
    <x v="0"/>
  </r>
  <r>
    <x v="440"/>
    <x v="18"/>
    <x v="2"/>
    <x v="2"/>
    <x v="1"/>
    <x v="1"/>
    <x v="7"/>
    <x v="2"/>
    <x v="409"/>
    <x v="3"/>
    <s v="Tablet"/>
    <x v="1"/>
    <s v="Yes"/>
    <x v="3"/>
  </r>
  <r>
    <x v="441"/>
    <x v="22"/>
    <x v="0"/>
    <x v="0"/>
    <x v="2"/>
    <x v="3"/>
    <x v="20"/>
    <x v="4"/>
    <x v="410"/>
    <x v="3"/>
    <s v="Tablet"/>
    <x v="1"/>
    <s v="Yes"/>
    <x v="4"/>
  </r>
  <r>
    <x v="442"/>
    <x v="17"/>
    <x v="0"/>
    <x v="1"/>
    <x v="1"/>
    <x v="1"/>
    <x v="10"/>
    <x v="4"/>
    <x v="411"/>
    <x v="5"/>
    <s v="Laptop"/>
    <x v="0"/>
    <s v="Yes"/>
    <x v="3"/>
  </r>
  <r>
    <x v="443"/>
    <x v="1"/>
    <x v="1"/>
    <x v="2"/>
    <x v="0"/>
    <x v="3"/>
    <x v="19"/>
    <x v="1"/>
    <x v="412"/>
    <x v="5"/>
    <s v="TV"/>
    <x v="1"/>
    <s v="Yes"/>
    <x v="0"/>
  </r>
  <r>
    <x v="444"/>
    <x v="18"/>
    <x v="2"/>
    <x v="0"/>
    <x v="2"/>
    <x v="5"/>
    <x v="5"/>
    <x v="4"/>
    <x v="413"/>
    <x v="4"/>
    <s v="Tablet"/>
    <x v="0"/>
    <s v="Yes"/>
    <x v="2"/>
  </r>
  <r>
    <x v="445"/>
    <x v="11"/>
    <x v="1"/>
    <x v="0"/>
    <x v="0"/>
    <x v="0"/>
    <x v="22"/>
    <x v="6"/>
    <x v="127"/>
    <x v="1"/>
    <s v="Laptop"/>
    <x v="1"/>
    <s v="Yes"/>
    <x v="3"/>
  </r>
  <r>
    <x v="446"/>
    <x v="18"/>
    <x v="2"/>
    <x v="1"/>
    <x v="0"/>
    <x v="2"/>
    <x v="2"/>
    <x v="3"/>
    <x v="414"/>
    <x v="1"/>
    <s v="Laptop"/>
    <x v="1"/>
    <s v="No"/>
    <x v="0"/>
  </r>
  <r>
    <x v="447"/>
    <x v="9"/>
    <x v="2"/>
    <x v="2"/>
    <x v="1"/>
    <x v="5"/>
    <x v="9"/>
    <x v="6"/>
    <x v="415"/>
    <x v="2"/>
    <s v="Laptop"/>
    <x v="0"/>
    <s v="No"/>
    <x v="2"/>
  </r>
  <r>
    <x v="448"/>
    <x v="11"/>
    <x v="2"/>
    <x v="0"/>
    <x v="2"/>
    <x v="0"/>
    <x v="15"/>
    <x v="6"/>
    <x v="416"/>
    <x v="0"/>
    <s v="Tablet"/>
    <x v="1"/>
    <s v="No"/>
    <x v="1"/>
  </r>
  <r>
    <x v="449"/>
    <x v="7"/>
    <x v="0"/>
    <x v="1"/>
    <x v="1"/>
    <x v="0"/>
    <x v="18"/>
    <x v="0"/>
    <x v="417"/>
    <x v="7"/>
    <s v="Tablet"/>
    <x v="0"/>
    <s v="Yes"/>
    <x v="4"/>
  </r>
  <r>
    <x v="450"/>
    <x v="11"/>
    <x v="1"/>
    <x v="0"/>
    <x v="0"/>
    <x v="1"/>
    <x v="10"/>
    <x v="5"/>
    <x v="418"/>
    <x v="7"/>
    <s v="Tablet"/>
    <x v="1"/>
    <s v="Yes"/>
    <x v="1"/>
  </r>
  <r>
    <x v="451"/>
    <x v="21"/>
    <x v="2"/>
    <x v="2"/>
    <x v="2"/>
    <x v="1"/>
    <x v="5"/>
    <x v="5"/>
    <x v="419"/>
    <x v="3"/>
    <s v="TV"/>
    <x v="1"/>
    <s v="Yes"/>
    <x v="0"/>
  </r>
  <r>
    <x v="452"/>
    <x v="6"/>
    <x v="2"/>
    <x v="1"/>
    <x v="1"/>
    <x v="1"/>
    <x v="19"/>
    <x v="0"/>
    <x v="148"/>
    <x v="5"/>
    <s v="Laptop"/>
    <x v="1"/>
    <s v="Yes"/>
    <x v="3"/>
  </r>
  <r>
    <x v="453"/>
    <x v="10"/>
    <x v="1"/>
    <x v="1"/>
    <x v="2"/>
    <x v="5"/>
    <x v="8"/>
    <x v="2"/>
    <x v="219"/>
    <x v="1"/>
    <s v="Laptop"/>
    <x v="0"/>
    <s v="Yes"/>
    <x v="0"/>
  </r>
  <r>
    <x v="454"/>
    <x v="16"/>
    <x v="0"/>
    <x v="1"/>
    <x v="0"/>
    <x v="0"/>
    <x v="2"/>
    <x v="2"/>
    <x v="420"/>
    <x v="7"/>
    <s v="Mobile"/>
    <x v="0"/>
    <s v="Yes"/>
    <x v="1"/>
  </r>
  <r>
    <x v="455"/>
    <x v="18"/>
    <x v="2"/>
    <x v="1"/>
    <x v="2"/>
    <x v="2"/>
    <x v="8"/>
    <x v="4"/>
    <x v="421"/>
    <x v="2"/>
    <s v="Laptop"/>
    <x v="0"/>
    <s v="Yes"/>
    <x v="2"/>
  </r>
  <r>
    <x v="456"/>
    <x v="14"/>
    <x v="1"/>
    <x v="1"/>
    <x v="1"/>
    <x v="5"/>
    <x v="25"/>
    <x v="3"/>
    <x v="422"/>
    <x v="1"/>
    <s v="Laptop"/>
    <x v="0"/>
    <s v="No"/>
    <x v="1"/>
  </r>
  <r>
    <x v="457"/>
    <x v="1"/>
    <x v="1"/>
    <x v="2"/>
    <x v="2"/>
    <x v="0"/>
    <x v="2"/>
    <x v="7"/>
    <x v="423"/>
    <x v="4"/>
    <s v="Tablet"/>
    <x v="1"/>
    <s v="No"/>
    <x v="3"/>
  </r>
  <r>
    <x v="458"/>
    <x v="14"/>
    <x v="0"/>
    <x v="1"/>
    <x v="0"/>
    <x v="2"/>
    <x v="25"/>
    <x v="1"/>
    <x v="424"/>
    <x v="1"/>
    <s v="Laptop"/>
    <x v="0"/>
    <s v="Yes"/>
    <x v="3"/>
  </r>
  <r>
    <x v="459"/>
    <x v="2"/>
    <x v="1"/>
    <x v="1"/>
    <x v="2"/>
    <x v="1"/>
    <x v="24"/>
    <x v="1"/>
    <x v="425"/>
    <x v="5"/>
    <s v="Mobile"/>
    <x v="1"/>
    <s v="No"/>
    <x v="4"/>
  </r>
  <r>
    <x v="460"/>
    <x v="17"/>
    <x v="1"/>
    <x v="2"/>
    <x v="1"/>
    <x v="0"/>
    <x v="3"/>
    <x v="6"/>
    <x v="426"/>
    <x v="0"/>
    <s v="Tablet"/>
    <x v="1"/>
    <s v="Yes"/>
    <x v="1"/>
  </r>
  <r>
    <x v="461"/>
    <x v="22"/>
    <x v="1"/>
    <x v="0"/>
    <x v="1"/>
    <x v="4"/>
    <x v="10"/>
    <x v="6"/>
    <x v="331"/>
    <x v="1"/>
    <s v="TV"/>
    <x v="1"/>
    <s v="No"/>
    <x v="4"/>
  </r>
  <r>
    <x v="462"/>
    <x v="16"/>
    <x v="0"/>
    <x v="1"/>
    <x v="2"/>
    <x v="5"/>
    <x v="12"/>
    <x v="6"/>
    <x v="427"/>
    <x v="4"/>
    <s v="Tablet"/>
    <x v="1"/>
    <s v="Yes"/>
    <x v="4"/>
  </r>
  <r>
    <x v="463"/>
    <x v="15"/>
    <x v="1"/>
    <x v="2"/>
    <x v="0"/>
    <x v="4"/>
    <x v="0"/>
    <x v="1"/>
    <x v="428"/>
    <x v="7"/>
    <s v="Tablet"/>
    <x v="0"/>
    <s v="Yes"/>
    <x v="1"/>
  </r>
  <r>
    <x v="464"/>
    <x v="12"/>
    <x v="2"/>
    <x v="0"/>
    <x v="2"/>
    <x v="2"/>
    <x v="21"/>
    <x v="2"/>
    <x v="429"/>
    <x v="0"/>
    <s v="Mobile"/>
    <x v="0"/>
    <s v="No"/>
    <x v="3"/>
  </r>
  <r>
    <x v="465"/>
    <x v="0"/>
    <x v="1"/>
    <x v="1"/>
    <x v="1"/>
    <x v="5"/>
    <x v="5"/>
    <x v="2"/>
    <x v="102"/>
    <x v="5"/>
    <s v="Tablet"/>
    <x v="0"/>
    <s v="Yes"/>
    <x v="1"/>
  </r>
  <r>
    <x v="466"/>
    <x v="18"/>
    <x v="0"/>
    <x v="0"/>
    <x v="0"/>
    <x v="0"/>
    <x v="21"/>
    <x v="6"/>
    <x v="430"/>
    <x v="5"/>
    <s v="TV"/>
    <x v="1"/>
    <s v="No"/>
    <x v="3"/>
  </r>
  <r>
    <x v="467"/>
    <x v="16"/>
    <x v="0"/>
    <x v="0"/>
    <x v="0"/>
    <x v="5"/>
    <x v="6"/>
    <x v="5"/>
    <x v="431"/>
    <x v="3"/>
    <s v="Tablet"/>
    <x v="1"/>
    <s v="No"/>
    <x v="2"/>
  </r>
  <r>
    <x v="468"/>
    <x v="6"/>
    <x v="2"/>
    <x v="0"/>
    <x v="0"/>
    <x v="5"/>
    <x v="15"/>
    <x v="4"/>
    <x v="432"/>
    <x v="6"/>
    <s v="Tablet"/>
    <x v="1"/>
    <s v="Yes"/>
    <x v="1"/>
  </r>
  <r>
    <x v="469"/>
    <x v="9"/>
    <x v="1"/>
    <x v="1"/>
    <x v="1"/>
    <x v="0"/>
    <x v="3"/>
    <x v="3"/>
    <x v="433"/>
    <x v="3"/>
    <s v="Laptop"/>
    <x v="0"/>
    <s v="Yes"/>
    <x v="3"/>
  </r>
  <r>
    <x v="470"/>
    <x v="0"/>
    <x v="0"/>
    <x v="2"/>
    <x v="1"/>
    <x v="5"/>
    <x v="5"/>
    <x v="5"/>
    <x v="434"/>
    <x v="7"/>
    <s v="Mobile"/>
    <x v="0"/>
    <s v="Yes"/>
    <x v="3"/>
  </r>
  <r>
    <x v="471"/>
    <x v="20"/>
    <x v="1"/>
    <x v="2"/>
    <x v="1"/>
    <x v="0"/>
    <x v="25"/>
    <x v="2"/>
    <x v="435"/>
    <x v="6"/>
    <s v="TV"/>
    <x v="0"/>
    <s v="Yes"/>
    <x v="0"/>
  </r>
  <r>
    <x v="472"/>
    <x v="16"/>
    <x v="0"/>
    <x v="1"/>
    <x v="1"/>
    <x v="3"/>
    <x v="11"/>
    <x v="5"/>
    <x v="436"/>
    <x v="6"/>
    <s v="Laptop"/>
    <x v="0"/>
    <s v="No"/>
    <x v="4"/>
  </r>
  <r>
    <x v="473"/>
    <x v="18"/>
    <x v="0"/>
    <x v="2"/>
    <x v="0"/>
    <x v="5"/>
    <x v="10"/>
    <x v="6"/>
    <x v="437"/>
    <x v="0"/>
    <s v="Mobile"/>
    <x v="1"/>
    <s v="No"/>
    <x v="1"/>
  </r>
  <r>
    <x v="474"/>
    <x v="20"/>
    <x v="1"/>
    <x v="2"/>
    <x v="1"/>
    <x v="2"/>
    <x v="3"/>
    <x v="2"/>
    <x v="438"/>
    <x v="6"/>
    <s v="Tablet"/>
    <x v="1"/>
    <s v="Yes"/>
    <x v="0"/>
  </r>
  <r>
    <x v="475"/>
    <x v="9"/>
    <x v="0"/>
    <x v="0"/>
    <x v="0"/>
    <x v="3"/>
    <x v="14"/>
    <x v="4"/>
    <x v="439"/>
    <x v="0"/>
    <s v="Laptop"/>
    <x v="1"/>
    <s v="No"/>
    <x v="0"/>
  </r>
  <r>
    <x v="476"/>
    <x v="19"/>
    <x v="1"/>
    <x v="0"/>
    <x v="0"/>
    <x v="0"/>
    <x v="11"/>
    <x v="3"/>
    <x v="440"/>
    <x v="2"/>
    <s v="TV"/>
    <x v="0"/>
    <s v="No"/>
    <x v="1"/>
  </r>
  <r>
    <x v="477"/>
    <x v="16"/>
    <x v="0"/>
    <x v="0"/>
    <x v="1"/>
    <x v="2"/>
    <x v="10"/>
    <x v="7"/>
    <x v="441"/>
    <x v="5"/>
    <s v="Mobile"/>
    <x v="0"/>
    <s v="Yes"/>
    <x v="0"/>
  </r>
  <r>
    <x v="478"/>
    <x v="18"/>
    <x v="2"/>
    <x v="0"/>
    <x v="1"/>
    <x v="1"/>
    <x v="11"/>
    <x v="4"/>
    <x v="156"/>
    <x v="4"/>
    <s v="Tablet"/>
    <x v="1"/>
    <s v="No"/>
    <x v="4"/>
  </r>
  <r>
    <x v="479"/>
    <x v="20"/>
    <x v="2"/>
    <x v="2"/>
    <x v="1"/>
    <x v="0"/>
    <x v="9"/>
    <x v="7"/>
    <x v="442"/>
    <x v="3"/>
    <s v="Laptop"/>
    <x v="1"/>
    <s v="No"/>
    <x v="1"/>
  </r>
  <r>
    <x v="480"/>
    <x v="1"/>
    <x v="2"/>
    <x v="1"/>
    <x v="1"/>
    <x v="5"/>
    <x v="8"/>
    <x v="2"/>
    <x v="443"/>
    <x v="5"/>
    <s v="Laptop"/>
    <x v="0"/>
    <s v="No"/>
    <x v="2"/>
  </r>
  <r>
    <x v="481"/>
    <x v="4"/>
    <x v="2"/>
    <x v="1"/>
    <x v="0"/>
    <x v="4"/>
    <x v="11"/>
    <x v="3"/>
    <x v="444"/>
    <x v="7"/>
    <s v="Tablet"/>
    <x v="1"/>
    <s v="Yes"/>
    <x v="2"/>
  </r>
  <r>
    <x v="482"/>
    <x v="15"/>
    <x v="2"/>
    <x v="0"/>
    <x v="0"/>
    <x v="3"/>
    <x v="13"/>
    <x v="4"/>
    <x v="445"/>
    <x v="3"/>
    <s v="Tablet"/>
    <x v="0"/>
    <s v="Yes"/>
    <x v="2"/>
  </r>
  <r>
    <x v="483"/>
    <x v="18"/>
    <x v="2"/>
    <x v="1"/>
    <x v="0"/>
    <x v="3"/>
    <x v="23"/>
    <x v="2"/>
    <x v="446"/>
    <x v="1"/>
    <s v="Mobile"/>
    <x v="1"/>
    <s v="No"/>
    <x v="1"/>
  </r>
  <r>
    <x v="484"/>
    <x v="4"/>
    <x v="2"/>
    <x v="0"/>
    <x v="1"/>
    <x v="5"/>
    <x v="10"/>
    <x v="0"/>
    <x v="447"/>
    <x v="7"/>
    <s v="Tablet"/>
    <x v="0"/>
    <s v="Yes"/>
    <x v="2"/>
  </r>
  <r>
    <x v="485"/>
    <x v="15"/>
    <x v="0"/>
    <x v="2"/>
    <x v="2"/>
    <x v="0"/>
    <x v="12"/>
    <x v="3"/>
    <x v="448"/>
    <x v="7"/>
    <s v="Laptop"/>
    <x v="0"/>
    <s v="No"/>
    <x v="0"/>
  </r>
  <r>
    <x v="486"/>
    <x v="5"/>
    <x v="1"/>
    <x v="0"/>
    <x v="2"/>
    <x v="1"/>
    <x v="7"/>
    <x v="2"/>
    <x v="449"/>
    <x v="2"/>
    <s v="Mobile"/>
    <x v="0"/>
    <s v="Yes"/>
    <x v="4"/>
  </r>
  <r>
    <x v="487"/>
    <x v="11"/>
    <x v="2"/>
    <x v="1"/>
    <x v="0"/>
    <x v="0"/>
    <x v="7"/>
    <x v="5"/>
    <x v="450"/>
    <x v="1"/>
    <s v="Laptop"/>
    <x v="0"/>
    <s v="No"/>
    <x v="1"/>
  </r>
  <r>
    <x v="488"/>
    <x v="9"/>
    <x v="0"/>
    <x v="0"/>
    <x v="0"/>
    <x v="4"/>
    <x v="11"/>
    <x v="6"/>
    <x v="451"/>
    <x v="0"/>
    <s v="Tablet"/>
    <x v="0"/>
    <s v="Yes"/>
    <x v="4"/>
  </r>
  <r>
    <x v="489"/>
    <x v="20"/>
    <x v="1"/>
    <x v="2"/>
    <x v="1"/>
    <x v="0"/>
    <x v="16"/>
    <x v="4"/>
    <x v="452"/>
    <x v="7"/>
    <s v="TV"/>
    <x v="1"/>
    <s v="Yes"/>
    <x v="1"/>
  </r>
  <r>
    <x v="490"/>
    <x v="4"/>
    <x v="0"/>
    <x v="1"/>
    <x v="1"/>
    <x v="1"/>
    <x v="12"/>
    <x v="0"/>
    <x v="453"/>
    <x v="6"/>
    <s v="Mobile"/>
    <x v="1"/>
    <s v="No"/>
    <x v="1"/>
  </r>
  <r>
    <x v="491"/>
    <x v="8"/>
    <x v="2"/>
    <x v="0"/>
    <x v="0"/>
    <x v="1"/>
    <x v="6"/>
    <x v="5"/>
    <x v="454"/>
    <x v="7"/>
    <s v="Tablet"/>
    <x v="0"/>
    <s v="No"/>
    <x v="4"/>
  </r>
  <r>
    <x v="492"/>
    <x v="18"/>
    <x v="0"/>
    <x v="1"/>
    <x v="0"/>
    <x v="2"/>
    <x v="24"/>
    <x v="4"/>
    <x v="455"/>
    <x v="6"/>
    <s v="Laptop"/>
    <x v="1"/>
    <s v="No"/>
    <x v="2"/>
  </r>
  <r>
    <x v="493"/>
    <x v="9"/>
    <x v="0"/>
    <x v="1"/>
    <x v="1"/>
    <x v="3"/>
    <x v="21"/>
    <x v="7"/>
    <x v="456"/>
    <x v="0"/>
    <s v="TV"/>
    <x v="1"/>
    <s v="No"/>
    <x v="1"/>
  </r>
  <r>
    <x v="494"/>
    <x v="10"/>
    <x v="0"/>
    <x v="2"/>
    <x v="0"/>
    <x v="4"/>
    <x v="20"/>
    <x v="1"/>
    <x v="457"/>
    <x v="0"/>
    <s v="TV"/>
    <x v="0"/>
    <s v="No"/>
    <x v="1"/>
  </r>
  <r>
    <x v="495"/>
    <x v="20"/>
    <x v="1"/>
    <x v="0"/>
    <x v="0"/>
    <x v="0"/>
    <x v="21"/>
    <x v="0"/>
    <x v="458"/>
    <x v="6"/>
    <s v="Mobile"/>
    <x v="1"/>
    <s v="No"/>
    <x v="1"/>
  </r>
  <r>
    <x v="496"/>
    <x v="6"/>
    <x v="2"/>
    <x v="1"/>
    <x v="0"/>
    <x v="5"/>
    <x v="0"/>
    <x v="0"/>
    <x v="459"/>
    <x v="5"/>
    <s v="TV"/>
    <x v="1"/>
    <s v="Yes"/>
    <x v="3"/>
  </r>
  <r>
    <x v="497"/>
    <x v="1"/>
    <x v="1"/>
    <x v="0"/>
    <x v="0"/>
    <x v="0"/>
    <x v="1"/>
    <x v="2"/>
    <x v="460"/>
    <x v="6"/>
    <s v="TV"/>
    <x v="1"/>
    <s v="No"/>
    <x v="1"/>
  </r>
  <r>
    <x v="498"/>
    <x v="11"/>
    <x v="2"/>
    <x v="2"/>
    <x v="1"/>
    <x v="2"/>
    <x v="1"/>
    <x v="1"/>
    <x v="392"/>
    <x v="7"/>
    <s v="Mobile"/>
    <x v="0"/>
    <s v="No"/>
    <x v="0"/>
  </r>
  <r>
    <x v="499"/>
    <x v="14"/>
    <x v="1"/>
    <x v="0"/>
    <x v="0"/>
    <x v="0"/>
    <x v="13"/>
    <x v="7"/>
    <x v="461"/>
    <x v="0"/>
    <s v="TV"/>
    <x v="0"/>
    <s v="Yes"/>
    <x v="0"/>
  </r>
  <r>
    <x v="500"/>
    <x v="20"/>
    <x v="1"/>
    <x v="1"/>
    <x v="1"/>
    <x v="4"/>
    <x v="2"/>
    <x v="1"/>
    <x v="79"/>
    <x v="5"/>
    <s v="Tablet"/>
    <x v="0"/>
    <s v="Yes"/>
    <x v="4"/>
  </r>
  <r>
    <x v="501"/>
    <x v="13"/>
    <x v="2"/>
    <x v="1"/>
    <x v="2"/>
    <x v="1"/>
    <x v="8"/>
    <x v="5"/>
    <x v="462"/>
    <x v="4"/>
    <s v="Laptop"/>
    <x v="0"/>
    <s v="Yes"/>
    <x v="1"/>
  </r>
  <r>
    <x v="502"/>
    <x v="0"/>
    <x v="1"/>
    <x v="1"/>
    <x v="0"/>
    <x v="3"/>
    <x v="18"/>
    <x v="2"/>
    <x v="463"/>
    <x v="5"/>
    <s v="Tablet"/>
    <x v="1"/>
    <s v="Yes"/>
    <x v="4"/>
  </r>
  <r>
    <x v="503"/>
    <x v="12"/>
    <x v="2"/>
    <x v="1"/>
    <x v="2"/>
    <x v="1"/>
    <x v="10"/>
    <x v="2"/>
    <x v="464"/>
    <x v="5"/>
    <s v="Mobile"/>
    <x v="1"/>
    <s v="Yes"/>
    <x v="1"/>
  </r>
  <r>
    <x v="504"/>
    <x v="4"/>
    <x v="1"/>
    <x v="2"/>
    <x v="2"/>
    <x v="3"/>
    <x v="10"/>
    <x v="6"/>
    <x v="465"/>
    <x v="6"/>
    <s v="TV"/>
    <x v="0"/>
    <s v="No"/>
    <x v="4"/>
  </r>
  <r>
    <x v="505"/>
    <x v="4"/>
    <x v="2"/>
    <x v="1"/>
    <x v="1"/>
    <x v="3"/>
    <x v="4"/>
    <x v="0"/>
    <x v="466"/>
    <x v="1"/>
    <s v="Tablet"/>
    <x v="0"/>
    <s v="No"/>
    <x v="1"/>
  </r>
  <r>
    <x v="506"/>
    <x v="9"/>
    <x v="0"/>
    <x v="1"/>
    <x v="2"/>
    <x v="5"/>
    <x v="17"/>
    <x v="4"/>
    <x v="467"/>
    <x v="7"/>
    <s v="Tablet"/>
    <x v="1"/>
    <s v="No"/>
    <x v="1"/>
  </r>
  <r>
    <x v="507"/>
    <x v="16"/>
    <x v="1"/>
    <x v="1"/>
    <x v="1"/>
    <x v="5"/>
    <x v="25"/>
    <x v="5"/>
    <x v="468"/>
    <x v="3"/>
    <s v="Tablet"/>
    <x v="0"/>
    <s v="Yes"/>
    <x v="1"/>
  </r>
  <r>
    <x v="508"/>
    <x v="8"/>
    <x v="2"/>
    <x v="1"/>
    <x v="0"/>
    <x v="1"/>
    <x v="13"/>
    <x v="0"/>
    <x v="469"/>
    <x v="2"/>
    <s v="TV"/>
    <x v="0"/>
    <s v="No"/>
    <x v="2"/>
  </r>
  <r>
    <x v="509"/>
    <x v="5"/>
    <x v="1"/>
    <x v="0"/>
    <x v="1"/>
    <x v="0"/>
    <x v="19"/>
    <x v="2"/>
    <x v="470"/>
    <x v="6"/>
    <s v="TV"/>
    <x v="0"/>
    <s v="No"/>
    <x v="2"/>
  </r>
  <r>
    <x v="510"/>
    <x v="4"/>
    <x v="1"/>
    <x v="0"/>
    <x v="2"/>
    <x v="3"/>
    <x v="14"/>
    <x v="2"/>
    <x v="471"/>
    <x v="4"/>
    <s v="Tablet"/>
    <x v="1"/>
    <s v="No"/>
    <x v="3"/>
  </r>
  <r>
    <x v="511"/>
    <x v="22"/>
    <x v="0"/>
    <x v="2"/>
    <x v="1"/>
    <x v="2"/>
    <x v="22"/>
    <x v="6"/>
    <x v="472"/>
    <x v="2"/>
    <s v="Mobile"/>
    <x v="0"/>
    <s v="Yes"/>
    <x v="3"/>
  </r>
  <r>
    <x v="512"/>
    <x v="12"/>
    <x v="2"/>
    <x v="2"/>
    <x v="1"/>
    <x v="1"/>
    <x v="16"/>
    <x v="1"/>
    <x v="473"/>
    <x v="5"/>
    <s v="Tablet"/>
    <x v="1"/>
    <s v="Yes"/>
    <x v="0"/>
  </r>
  <r>
    <x v="513"/>
    <x v="15"/>
    <x v="2"/>
    <x v="1"/>
    <x v="1"/>
    <x v="2"/>
    <x v="20"/>
    <x v="6"/>
    <x v="474"/>
    <x v="0"/>
    <s v="TV"/>
    <x v="1"/>
    <s v="No"/>
    <x v="0"/>
  </r>
  <r>
    <x v="514"/>
    <x v="18"/>
    <x v="2"/>
    <x v="2"/>
    <x v="1"/>
    <x v="4"/>
    <x v="19"/>
    <x v="4"/>
    <x v="174"/>
    <x v="1"/>
    <s v="Laptop"/>
    <x v="1"/>
    <s v="Yes"/>
    <x v="2"/>
  </r>
  <r>
    <x v="515"/>
    <x v="18"/>
    <x v="0"/>
    <x v="0"/>
    <x v="2"/>
    <x v="3"/>
    <x v="7"/>
    <x v="0"/>
    <x v="475"/>
    <x v="6"/>
    <s v="TV"/>
    <x v="0"/>
    <s v="No"/>
    <x v="2"/>
  </r>
  <r>
    <x v="516"/>
    <x v="5"/>
    <x v="1"/>
    <x v="0"/>
    <x v="0"/>
    <x v="5"/>
    <x v="1"/>
    <x v="3"/>
    <x v="476"/>
    <x v="0"/>
    <s v="Mobile"/>
    <x v="0"/>
    <s v="Yes"/>
    <x v="2"/>
  </r>
  <r>
    <x v="517"/>
    <x v="17"/>
    <x v="0"/>
    <x v="0"/>
    <x v="1"/>
    <x v="1"/>
    <x v="22"/>
    <x v="5"/>
    <x v="477"/>
    <x v="2"/>
    <s v="Tablet"/>
    <x v="0"/>
    <s v="No"/>
    <x v="1"/>
  </r>
  <r>
    <x v="518"/>
    <x v="5"/>
    <x v="2"/>
    <x v="0"/>
    <x v="0"/>
    <x v="2"/>
    <x v="12"/>
    <x v="6"/>
    <x v="478"/>
    <x v="5"/>
    <s v="Tablet"/>
    <x v="1"/>
    <s v="Yes"/>
    <x v="0"/>
  </r>
  <r>
    <x v="519"/>
    <x v="5"/>
    <x v="0"/>
    <x v="1"/>
    <x v="0"/>
    <x v="5"/>
    <x v="19"/>
    <x v="1"/>
    <x v="479"/>
    <x v="4"/>
    <s v="Tablet"/>
    <x v="0"/>
    <s v="Yes"/>
    <x v="4"/>
  </r>
  <r>
    <x v="520"/>
    <x v="6"/>
    <x v="1"/>
    <x v="2"/>
    <x v="0"/>
    <x v="4"/>
    <x v="12"/>
    <x v="5"/>
    <x v="480"/>
    <x v="0"/>
    <s v="Mobile"/>
    <x v="0"/>
    <s v="Yes"/>
    <x v="3"/>
  </r>
  <r>
    <x v="521"/>
    <x v="10"/>
    <x v="0"/>
    <x v="1"/>
    <x v="0"/>
    <x v="0"/>
    <x v="9"/>
    <x v="6"/>
    <x v="481"/>
    <x v="3"/>
    <s v="Tablet"/>
    <x v="1"/>
    <s v="Yes"/>
    <x v="4"/>
  </r>
  <r>
    <x v="522"/>
    <x v="4"/>
    <x v="0"/>
    <x v="2"/>
    <x v="1"/>
    <x v="4"/>
    <x v="11"/>
    <x v="4"/>
    <x v="482"/>
    <x v="5"/>
    <s v="Tablet"/>
    <x v="0"/>
    <s v="Yes"/>
    <x v="1"/>
  </r>
  <r>
    <x v="523"/>
    <x v="21"/>
    <x v="0"/>
    <x v="2"/>
    <x v="1"/>
    <x v="2"/>
    <x v="16"/>
    <x v="7"/>
    <x v="483"/>
    <x v="2"/>
    <s v="Tablet"/>
    <x v="0"/>
    <s v="Yes"/>
    <x v="4"/>
  </r>
  <r>
    <x v="524"/>
    <x v="3"/>
    <x v="2"/>
    <x v="1"/>
    <x v="1"/>
    <x v="1"/>
    <x v="7"/>
    <x v="2"/>
    <x v="484"/>
    <x v="3"/>
    <s v="Tablet"/>
    <x v="0"/>
    <s v="No"/>
    <x v="2"/>
  </r>
  <r>
    <x v="525"/>
    <x v="4"/>
    <x v="2"/>
    <x v="0"/>
    <x v="1"/>
    <x v="4"/>
    <x v="16"/>
    <x v="3"/>
    <x v="485"/>
    <x v="4"/>
    <s v="Mobile"/>
    <x v="0"/>
    <s v="Yes"/>
    <x v="0"/>
  </r>
  <r>
    <x v="526"/>
    <x v="10"/>
    <x v="0"/>
    <x v="2"/>
    <x v="1"/>
    <x v="2"/>
    <x v="14"/>
    <x v="4"/>
    <x v="486"/>
    <x v="6"/>
    <s v="Mobile"/>
    <x v="0"/>
    <s v="No"/>
    <x v="4"/>
  </r>
  <r>
    <x v="527"/>
    <x v="19"/>
    <x v="2"/>
    <x v="0"/>
    <x v="0"/>
    <x v="0"/>
    <x v="11"/>
    <x v="4"/>
    <x v="487"/>
    <x v="4"/>
    <s v="Laptop"/>
    <x v="0"/>
    <s v="Yes"/>
    <x v="2"/>
  </r>
  <r>
    <x v="528"/>
    <x v="14"/>
    <x v="2"/>
    <x v="2"/>
    <x v="0"/>
    <x v="1"/>
    <x v="23"/>
    <x v="2"/>
    <x v="488"/>
    <x v="3"/>
    <s v="Laptop"/>
    <x v="0"/>
    <s v="No"/>
    <x v="2"/>
  </r>
  <r>
    <x v="529"/>
    <x v="7"/>
    <x v="1"/>
    <x v="0"/>
    <x v="0"/>
    <x v="3"/>
    <x v="24"/>
    <x v="4"/>
    <x v="489"/>
    <x v="1"/>
    <s v="Mobile"/>
    <x v="0"/>
    <s v="No"/>
    <x v="3"/>
  </r>
  <r>
    <x v="530"/>
    <x v="18"/>
    <x v="2"/>
    <x v="0"/>
    <x v="1"/>
    <x v="5"/>
    <x v="15"/>
    <x v="2"/>
    <x v="490"/>
    <x v="7"/>
    <s v="Laptop"/>
    <x v="0"/>
    <s v="Yes"/>
    <x v="4"/>
  </r>
  <r>
    <x v="531"/>
    <x v="18"/>
    <x v="0"/>
    <x v="1"/>
    <x v="0"/>
    <x v="0"/>
    <x v="4"/>
    <x v="7"/>
    <x v="491"/>
    <x v="4"/>
    <s v="Tablet"/>
    <x v="0"/>
    <s v="Yes"/>
    <x v="0"/>
  </r>
  <r>
    <x v="532"/>
    <x v="14"/>
    <x v="2"/>
    <x v="0"/>
    <x v="0"/>
    <x v="4"/>
    <x v="0"/>
    <x v="0"/>
    <x v="492"/>
    <x v="3"/>
    <s v="Mobile"/>
    <x v="0"/>
    <s v="Yes"/>
    <x v="1"/>
  </r>
  <r>
    <x v="533"/>
    <x v="4"/>
    <x v="2"/>
    <x v="2"/>
    <x v="2"/>
    <x v="0"/>
    <x v="6"/>
    <x v="2"/>
    <x v="493"/>
    <x v="1"/>
    <s v="Laptop"/>
    <x v="1"/>
    <s v="No"/>
    <x v="0"/>
  </r>
  <r>
    <x v="534"/>
    <x v="20"/>
    <x v="1"/>
    <x v="0"/>
    <x v="1"/>
    <x v="1"/>
    <x v="14"/>
    <x v="4"/>
    <x v="494"/>
    <x v="0"/>
    <s v="TV"/>
    <x v="1"/>
    <s v="No"/>
    <x v="1"/>
  </r>
  <r>
    <x v="535"/>
    <x v="21"/>
    <x v="0"/>
    <x v="2"/>
    <x v="0"/>
    <x v="5"/>
    <x v="7"/>
    <x v="7"/>
    <x v="495"/>
    <x v="1"/>
    <s v="Tablet"/>
    <x v="0"/>
    <s v="No"/>
    <x v="3"/>
  </r>
  <r>
    <x v="536"/>
    <x v="19"/>
    <x v="1"/>
    <x v="1"/>
    <x v="2"/>
    <x v="1"/>
    <x v="1"/>
    <x v="2"/>
    <x v="496"/>
    <x v="3"/>
    <s v="Mobile"/>
    <x v="1"/>
    <s v="No"/>
    <x v="3"/>
  </r>
  <r>
    <x v="537"/>
    <x v="11"/>
    <x v="1"/>
    <x v="1"/>
    <x v="0"/>
    <x v="3"/>
    <x v="20"/>
    <x v="6"/>
    <x v="497"/>
    <x v="4"/>
    <s v="Laptop"/>
    <x v="0"/>
    <s v="No"/>
    <x v="0"/>
  </r>
  <r>
    <x v="538"/>
    <x v="15"/>
    <x v="1"/>
    <x v="1"/>
    <x v="1"/>
    <x v="5"/>
    <x v="0"/>
    <x v="7"/>
    <x v="498"/>
    <x v="5"/>
    <s v="Laptop"/>
    <x v="1"/>
    <s v="Yes"/>
    <x v="3"/>
  </r>
  <r>
    <x v="539"/>
    <x v="7"/>
    <x v="0"/>
    <x v="2"/>
    <x v="2"/>
    <x v="1"/>
    <x v="11"/>
    <x v="1"/>
    <x v="499"/>
    <x v="1"/>
    <s v="Mobile"/>
    <x v="1"/>
    <s v="No"/>
    <x v="2"/>
  </r>
  <r>
    <x v="540"/>
    <x v="19"/>
    <x v="1"/>
    <x v="1"/>
    <x v="0"/>
    <x v="4"/>
    <x v="20"/>
    <x v="7"/>
    <x v="378"/>
    <x v="4"/>
    <s v="Tablet"/>
    <x v="0"/>
    <s v="No"/>
    <x v="3"/>
  </r>
  <r>
    <x v="541"/>
    <x v="5"/>
    <x v="0"/>
    <x v="2"/>
    <x v="1"/>
    <x v="3"/>
    <x v="1"/>
    <x v="5"/>
    <x v="500"/>
    <x v="4"/>
    <s v="Mobile"/>
    <x v="1"/>
    <s v="No"/>
    <x v="3"/>
  </r>
  <r>
    <x v="542"/>
    <x v="20"/>
    <x v="2"/>
    <x v="2"/>
    <x v="0"/>
    <x v="0"/>
    <x v="25"/>
    <x v="2"/>
    <x v="467"/>
    <x v="1"/>
    <s v="Mobile"/>
    <x v="1"/>
    <s v="No"/>
    <x v="3"/>
  </r>
  <r>
    <x v="543"/>
    <x v="11"/>
    <x v="2"/>
    <x v="0"/>
    <x v="1"/>
    <x v="4"/>
    <x v="21"/>
    <x v="3"/>
    <x v="501"/>
    <x v="1"/>
    <s v="TV"/>
    <x v="1"/>
    <s v="Yes"/>
    <x v="4"/>
  </r>
  <r>
    <x v="544"/>
    <x v="10"/>
    <x v="2"/>
    <x v="0"/>
    <x v="0"/>
    <x v="4"/>
    <x v="8"/>
    <x v="6"/>
    <x v="502"/>
    <x v="5"/>
    <s v="Tablet"/>
    <x v="1"/>
    <s v="Yes"/>
    <x v="2"/>
  </r>
  <r>
    <x v="545"/>
    <x v="12"/>
    <x v="1"/>
    <x v="0"/>
    <x v="1"/>
    <x v="0"/>
    <x v="23"/>
    <x v="1"/>
    <x v="503"/>
    <x v="1"/>
    <s v="Laptop"/>
    <x v="1"/>
    <s v="No"/>
    <x v="2"/>
  </r>
  <r>
    <x v="546"/>
    <x v="22"/>
    <x v="2"/>
    <x v="2"/>
    <x v="2"/>
    <x v="1"/>
    <x v="6"/>
    <x v="4"/>
    <x v="504"/>
    <x v="3"/>
    <s v="Tablet"/>
    <x v="1"/>
    <s v="Yes"/>
    <x v="2"/>
  </r>
  <r>
    <x v="547"/>
    <x v="4"/>
    <x v="1"/>
    <x v="1"/>
    <x v="1"/>
    <x v="0"/>
    <x v="16"/>
    <x v="6"/>
    <x v="505"/>
    <x v="0"/>
    <s v="Tablet"/>
    <x v="1"/>
    <s v="Yes"/>
    <x v="0"/>
  </r>
  <r>
    <x v="548"/>
    <x v="16"/>
    <x v="1"/>
    <x v="2"/>
    <x v="0"/>
    <x v="0"/>
    <x v="20"/>
    <x v="0"/>
    <x v="506"/>
    <x v="7"/>
    <s v="Mobile"/>
    <x v="1"/>
    <s v="Yes"/>
    <x v="1"/>
  </r>
  <r>
    <x v="549"/>
    <x v="7"/>
    <x v="1"/>
    <x v="0"/>
    <x v="2"/>
    <x v="2"/>
    <x v="16"/>
    <x v="2"/>
    <x v="507"/>
    <x v="0"/>
    <s v="Laptop"/>
    <x v="0"/>
    <s v="No"/>
    <x v="4"/>
  </r>
  <r>
    <x v="550"/>
    <x v="22"/>
    <x v="1"/>
    <x v="2"/>
    <x v="1"/>
    <x v="1"/>
    <x v="7"/>
    <x v="3"/>
    <x v="508"/>
    <x v="7"/>
    <s v="TV"/>
    <x v="1"/>
    <s v="No"/>
    <x v="4"/>
  </r>
  <r>
    <x v="551"/>
    <x v="5"/>
    <x v="2"/>
    <x v="1"/>
    <x v="2"/>
    <x v="5"/>
    <x v="17"/>
    <x v="0"/>
    <x v="509"/>
    <x v="6"/>
    <s v="TV"/>
    <x v="1"/>
    <s v="No"/>
    <x v="0"/>
  </r>
  <r>
    <x v="552"/>
    <x v="8"/>
    <x v="2"/>
    <x v="0"/>
    <x v="0"/>
    <x v="4"/>
    <x v="2"/>
    <x v="2"/>
    <x v="510"/>
    <x v="2"/>
    <s v="Mobile"/>
    <x v="0"/>
    <s v="Yes"/>
    <x v="3"/>
  </r>
  <r>
    <x v="553"/>
    <x v="5"/>
    <x v="2"/>
    <x v="0"/>
    <x v="0"/>
    <x v="5"/>
    <x v="0"/>
    <x v="6"/>
    <x v="511"/>
    <x v="2"/>
    <s v="Tablet"/>
    <x v="0"/>
    <s v="No"/>
    <x v="3"/>
  </r>
  <r>
    <x v="554"/>
    <x v="3"/>
    <x v="2"/>
    <x v="0"/>
    <x v="0"/>
    <x v="3"/>
    <x v="20"/>
    <x v="3"/>
    <x v="512"/>
    <x v="7"/>
    <s v="Tablet"/>
    <x v="1"/>
    <s v="No"/>
    <x v="2"/>
  </r>
  <r>
    <x v="555"/>
    <x v="13"/>
    <x v="1"/>
    <x v="1"/>
    <x v="2"/>
    <x v="2"/>
    <x v="21"/>
    <x v="2"/>
    <x v="513"/>
    <x v="2"/>
    <s v="Laptop"/>
    <x v="1"/>
    <s v="Yes"/>
    <x v="1"/>
  </r>
  <r>
    <x v="556"/>
    <x v="13"/>
    <x v="0"/>
    <x v="1"/>
    <x v="2"/>
    <x v="4"/>
    <x v="5"/>
    <x v="2"/>
    <x v="514"/>
    <x v="4"/>
    <s v="TV"/>
    <x v="0"/>
    <s v="Yes"/>
    <x v="2"/>
  </r>
  <r>
    <x v="557"/>
    <x v="4"/>
    <x v="0"/>
    <x v="0"/>
    <x v="0"/>
    <x v="3"/>
    <x v="2"/>
    <x v="7"/>
    <x v="515"/>
    <x v="4"/>
    <s v="Tablet"/>
    <x v="1"/>
    <s v="No"/>
    <x v="3"/>
  </r>
  <r>
    <x v="558"/>
    <x v="2"/>
    <x v="1"/>
    <x v="1"/>
    <x v="2"/>
    <x v="1"/>
    <x v="1"/>
    <x v="7"/>
    <x v="516"/>
    <x v="6"/>
    <s v="Laptop"/>
    <x v="1"/>
    <s v="Yes"/>
    <x v="2"/>
  </r>
  <r>
    <x v="559"/>
    <x v="21"/>
    <x v="2"/>
    <x v="1"/>
    <x v="0"/>
    <x v="3"/>
    <x v="16"/>
    <x v="7"/>
    <x v="517"/>
    <x v="2"/>
    <s v="Tablet"/>
    <x v="1"/>
    <s v="Yes"/>
    <x v="3"/>
  </r>
  <r>
    <x v="560"/>
    <x v="10"/>
    <x v="1"/>
    <x v="0"/>
    <x v="1"/>
    <x v="4"/>
    <x v="9"/>
    <x v="6"/>
    <x v="518"/>
    <x v="4"/>
    <s v="Mobile"/>
    <x v="1"/>
    <s v="Yes"/>
    <x v="0"/>
  </r>
  <r>
    <x v="561"/>
    <x v="17"/>
    <x v="2"/>
    <x v="0"/>
    <x v="2"/>
    <x v="3"/>
    <x v="3"/>
    <x v="3"/>
    <x v="519"/>
    <x v="1"/>
    <s v="TV"/>
    <x v="0"/>
    <s v="Yes"/>
    <x v="4"/>
  </r>
  <r>
    <x v="562"/>
    <x v="1"/>
    <x v="1"/>
    <x v="1"/>
    <x v="0"/>
    <x v="4"/>
    <x v="7"/>
    <x v="7"/>
    <x v="520"/>
    <x v="3"/>
    <s v="TV"/>
    <x v="1"/>
    <s v="Yes"/>
    <x v="2"/>
  </r>
  <r>
    <x v="563"/>
    <x v="4"/>
    <x v="2"/>
    <x v="0"/>
    <x v="2"/>
    <x v="2"/>
    <x v="20"/>
    <x v="7"/>
    <x v="521"/>
    <x v="2"/>
    <s v="Tablet"/>
    <x v="0"/>
    <s v="Yes"/>
    <x v="4"/>
  </r>
  <r>
    <x v="564"/>
    <x v="12"/>
    <x v="2"/>
    <x v="0"/>
    <x v="1"/>
    <x v="4"/>
    <x v="9"/>
    <x v="1"/>
    <x v="522"/>
    <x v="4"/>
    <s v="Mobile"/>
    <x v="0"/>
    <s v="Yes"/>
    <x v="4"/>
  </r>
  <r>
    <x v="565"/>
    <x v="16"/>
    <x v="0"/>
    <x v="2"/>
    <x v="2"/>
    <x v="3"/>
    <x v="23"/>
    <x v="6"/>
    <x v="523"/>
    <x v="5"/>
    <s v="TV"/>
    <x v="1"/>
    <s v="Yes"/>
    <x v="0"/>
  </r>
  <r>
    <x v="566"/>
    <x v="6"/>
    <x v="0"/>
    <x v="0"/>
    <x v="0"/>
    <x v="4"/>
    <x v="24"/>
    <x v="5"/>
    <x v="454"/>
    <x v="6"/>
    <s v="Mobile"/>
    <x v="1"/>
    <s v="No"/>
    <x v="1"/>
  </r>
  <r>
    <x v="567"/>
    <x v="13"/>
    <x v="0"/>
    <x v="0"/>
    <x v="0"/>
    <x v="2"/>
    <x v="7"/>
    <x v="5"/>
    <x v="524"/>
    <x v="6"/>
    <s v="Mobile"/>
    <x v="1"/>
    <s v="No"/>
    <x v="3"/>
  </r>
  <r>
    <x v="568"/>
    <x v="2"/>
    <x v="0"/>
    <x v="0"/>
    <x v="2"/>
    <x v="4"/>
    <x v="23"/>
    <x v="0"/>
    <x v="525"/>
    <x v="7"/>
    <s v="Tablet"/>
    <x v="1"/>
    <s v="No"/>
    <x v="3"/>
  </r>
  <r>
    <x v="569"/>
    <x v="0"/>
    <x v="2"/>
    <x v="2"/>
    <x v="1"/>
    <x v="5"/>
    <x v="22"/>
    <x v="6"/>
    <x v="199"/>
    <x v="2"/>
    <s v="Laptop"/>
    <x v="0"/>
    <s v="Yes"/>
    <x v="2"/>
  </r>
  <r>
    <x v="570"/>
    <x v="18"/>
    <x v="2"/>
    <x v="0"/>
    <x v="0"/>
    <x v="2"/>
    <x v="24"/>
    <x v="7"/>
    <x v="272"/>
    <x v="5"/>
    <s v="TV"/>
    <x v="0"/>
    <s v="No"/>
    <x v="3"/>
  </r>
  <r>
    <x v="571"/>
    <x v="16"/>
    <x v="1"/>
    <x v="0"/>
    <x v="1"/>
    <x v="1"/>
    <x v="10"/>
    <x v="0"/>
    <x v="526"/>
    <x v="4"/>
    <s v="TV"/>
    <x v="1"/>
    <s v="No"/>
    <x v="2"/>
  </r>
  <r>
    <x v="572"/>
    <x v="5"/>
    <x v="0"/>
    <x v="2"/>
    <x v="1"/>
    <x v="2"/>
    <x v="22"/>
    <x v="2"/>
    <x v="527"/>
    <x v="3"/>
    <s v="Laptop"/>
    <x v="1"/>
    <s v="No"/>
    <x v="0"/>
  </r>
  <r>
    <x v="573"/>
    <x v="13"/>
    <x v="0"/>
    <x v="0"/>
    <x v="0"/>
    <x v="5"/>
    <x v="20"/>
    <x v="3"/>
    <x v="152"/>
    <x v="1"/>
    <s v="Mobile"/>
    <x v="1"/>
    <s v="No"/>
    <x v="3"/>
  </r>
  <r>
    <x v="574"/>
    <x v="1"/>
    <x v="2"/>
    <x v="1"/>
    <x v="2"/>
    <x v="0"/>
    <x v="0"/>
    <x v="7"/>
    <x v="528"/>
    <x v="4"/>
    <s v="Tablet"/>
    <x v="1"/>
    <s v="Yes"/>
    <x v="2"/>
  </r>
  <r>
    <x v="575"/>
    <x v="4"/>
    <x v="0"/>
    <x v="0"/>
    <x v="1"/>
    <x v="1"/>
    <x v="13"/>
    <x v="3"/>
    <x v="529"/>
    <x v="2"/>
    <s v="Laptop"/>
    <x v="0"/>
    <s v="Yes"/>
    <x v="2"/>
  </r>
  <r>
    <x v="576"/>
    <x v="1"/>
    <x v="0"/>
    <x v="0"/>
    <x v="2"/>
    <x v="4"/>
    <x v="20"/>
    <x v="6"/>
    <x v="530"/>
    <x v="1"/>
    <s v="Mobile"/>
    <x v="0"/>
    <s v="Yes"/>
    <x v="2"/>
  </r>
  <r>
    <x v="577"/>
    <x v="13"/>
    <x v="0"/>
    <x v="1"/>
    <x v="1"/>
    <x v="3"/>
    <x v="0"/>
    <x v="0"/>
    <x v="531"/>
    <x v="0"/>
    <s v="Laptop"/>
    <x v="0"/>
    <s v="Yes"/>
    <x v="2"/>
  </r>
  <r>
    <x v="578"/>
    <x v="8"/>
    <x v="0"/>
    <x v="2"/>
    <x v="2"/>
    <x v="5"/>
    <x v="5"/>
    <x v="7"/>
    <x v="532"/>
    <x v="7"/>
    <s v="Laptop"/>
    <x v="0"/>
    <s v="Yes"/>
    <x v="2"/>
  </r>
  <r>
    <x v="579"/>
    <x v="7"/>
    <x v="0"/>
    <x v="2"/>
    <x v="0"/>
    <x v="2"/>
    <x v="21"/>
    <x v="2"/>
    <x v="533"/>
    <x v="3"/>
    <s v="Mobile"/>
    <x v="0"/>
    <s v="No"/>
    <x v="1"/>
  </r>
  <r>
    <x v="580"/>
    <x v="3"/>
    <x v="2"/>
    <x v="2"/>
    <x v="0"/>
    <x v="1"/>
    <x v="2"/>
    <x v="7"/>
    <x v="534"/>
    <x v="5"/>
    <s v="Tablet"/>
    <x v="0"/>
    <s v="Yes"/>
    <x v="3"/>
  </r>
  <r>
    <x v="581"/>
    <x v="20"/>
    <x v="2"/>
    <x v="0"/>
    <x v="1"/>
    <x v="1"/>
    <x v="0"/>
    <x v="4"/>
    <x v="535"/>
    <x v="7"/>
    <s v="TV"/>
    <x v="0"/>
    <s v="Yes"/>
    <x v="2"/>
  </r>
  <r>
    <x v="582"/>
    <x v="18"/>
    <x v="2"/>
    <x v="1"/>
    <x v="1"/>
    <x v="0"/>
    <x v="23"/>
    <x v="5"/>
    <x v="536"/>
    <x v="6"/>
    <s v="Laptop"/>
    <x v="1"/>
    <s v="No"/>
    <x v="4"/>
  </r>
  <r>
    <x v="583"/>
    <x v="20"/>
    <x v="1"/>
    <x v="1"/>
    <x v="0"/>
    <x v="3"/>
    <x v="1"/>
    <x v="4"/>
    <x v="537"/>
    <x v="0"/>
    <s v="Tablet"/>
    <x v="1"/>
    <s v="Yes"/>
    <x v="4"/>
  </r>
  <r>
    <x v="584"/>
    <x v="7"/>
    <x v="1"/>
    <x v="2"/>
    <x v="0"/>
    <x v="0"/>
    <x v="8"/>
    <x v="2"/>
    <x v="538"/>
    <x v="0"/>
    <s v="TV"/>
    <x v="0"/>
    <s v="No"/>
    <x v="4"/>
  </r>
  <r>
    <x v="585"/>
    <x v="11"/>
    <x v="0"/>
    <x v="1"/>
    <x v="1"/>
    <x v="4"/>
    <x v="3"/>
    <x v="5"/>
    <x v="72"/>
    <x v="2"/>
    <s v="Tablet"/>
    <x v="1"/>
    <s v="No"/>
    <x v="2"/>
  </r>
  <r>
    <x v="586"/>
    <x v="8"/>
    <x v="1"/>
    <x v="1"/>
    <x v="0"/>
    <x v="4"/>
    <x v="3"/>
    <x v="0"/>
    <x v="57"/>
    <x v="0"/>
    <s v="TV"/>
    <x v="1"/>
    <s v="No"/>
    <x v="4"/>
  </r>
  <r>
    <x v="587"/>
    <x v="22"/>
    <x v="0"/>
    <x v="2"/>
    <x v="0"/>
    <x v="3"/>
    <x v="6"/>
    <x v="4"/>
    <x v="539"/>
    <x v="3"/>
    <s v="Laptop"/>
    <x v="1"/>
    <s v="No"/>
    <x v="2"/>
  </r>
  <r>
    <x v="588"/>
    <x v="14"/>
    <x v="0"/>
    <x v="0"/>
    <x v="1"/>
    <x v="5"/>
    <x v="13"/>
    <x v="4"/>
    <x v="540"/>
    <x v="6"/>
    <s v="Laptop"/>
    <x v="1"/>
    <s v="No"/>
    <x v="1"/>
  </r>
  <r>
    <x v="589"/>
    <x v="13"/>
    <x v="2"/>
    <x v="2"/>
    <x v="1"/>
    <x v="3"/>
    <x v="10"/>
    <x v="6"/>
    <x v="541"/>
    <x v="5"/>
    <s v="Mobile"/>
    <x v="1"/>
    <s v="No"/>
    <x v="1"/>
  </r>
  <r>
    <x v="590"/>
    <x v="18"/>
    <x v="0"/>
    <x v="0"/>
    <x v="0"/>
    <x v="5"/>
    <x v="16"/>
    <x v="5"/>
    <x v="542"/>
    <x v="4"/>
    <s v="Tablet"/>
    <x v="1"/>
    <s v="Yes"/>
    <x v="4"/>
  </r>
  <r>
    <x v="591"/>
    <x v="16"/>
    <x v="0"/>
    <x v="2"/>
    <x v="1"/>
    <x v="4"/>
    <x v="2"/>
    <x v="4"/>
    <x v="543"/>
    <x v="6"/>
    <s v="Laptop"/>
    <x v="0"/>
    <s v="No"/>
    <x v="4"/>
  </r>
  <r>
    <x v="592"/>
    <x v="5"/>
    <x v="1"/>
    <x v="2"/>
    <x v="2"/>
    <x v="2"/>
    <x v="23"/>
    <x v="7"/>
    <x v="544"/>
    <x v="3"/>
    <s v="Mobile"/>
    <x v="0"/>
    <s v="Yes"/>
    <x v="4"/>
  </r>
  <r>
    <x v="593"/>
    <x v="3"/>
    <x v="1"/>
    <x v="1"/>
    <x v="2"/>
    <x v="3"/>
    <x v="5"/>
    <x v="1"/>
    <x v="545"/>
    <x v="7"/>
    <s v="TV"/>
    <x v="1"/>
    <s v="No"/>
    <x v="2"/>
  </r>
  <r>
    <x v="594"/>
    <x v="19"/>
    <x v="0"/>
    <x v="2"/>
    <x v="2"/>
    <x v="5"/>
    <x v="22"/>
    <x v="0"/>
    <x v="546"/>
    <x v="0"/>
    <s v="TV"/>
    <x v="0"/>
    <s v="No"/>
    <x v="3"/>
  </r>
  <r>
    <x v="595"/>
    <x v="2"/>
    <x v="0"/>
    <x v="1"/>
    <x v="1"/>
    <x v="4"/>
    <x v="18"/>
    <x v="1"/>
    <x v="547"/>
    <x v="2"/>
    <s v="Mobile"/>
    <x v="1"/>
    <s v="Yes"/>
    <x v="0"/>
  </r>
  <r>
    <x v="596"/>
    <x v="18"/>
    <x v="2"/>
    <x v="2"/>
    <x v="0"/>
    <x v="4"/>
    <x v="16"/>
    <x v="0"/>
    <x v="548"/>
    <x v="1"/>
    <s v="TV"/>
    <x v="1"/>
    <s v="No"/>
    <x v="4"/>
  </r>
  <r>
    <x v="597"/>
    <x v="2"/>
    <x v="2"/>
    <x v="0"/>
    <x v="2"/>
    <x v="0"/>
    <x v="3"/>
    <x v="0"/>
    <x v="549"/>
    <x v="1"/>
    <s v="TV"/>
    <x v="1"/>
    <s v="Yes"/>
    <x v="0"/>
  </r>
  <r>
    <x v="598"/>
    <x v="16"/>
    <x v="1"/>
    <x v="2"/>
    <x v="0"/>
    <x v="0"/>
    <x v="21"/>
    <x v="0"/>
    <x v="550"/>
    <x v="7"/>
    <s v="TV"/>
    <x v="0"/>
    <s v="No"/>
    <x v="3"/>
  </r>
  <r>
    <x v="599"/>
    <x v="20"/>
    <x v="1"/>
    <x v="1"/>
    <x v="1"/>
    <x v="2"/>
    <x v="1"/>
    <x v="1"/>
    <x v="551"/>
    <x v="7"/>
    <s v="Laptop"/>
    <x v="1"/>
    <s v="No"/>
    <x v="2"/>
  </r>
  <r>
    <x v="600"/>
    <x v="5"/>
    <x v="1"/>
    <x v="2"/>
    <x v="0"/>
    <x v="3"/>
    <x v="3"/>
    <x v="2"/>
    <x v="552"/>
    <x v="6"/>
    <s v="Laptop"/>
    <x v="1"/>
    <s v="No"/>
    <x v="4"/>
  </r>
  <r>
    <x v="601"/>
    <x v="0"/>
    <x v="1"/>
    <x v="2"/>
    <x v="1"/>
    <x v="3"/>
    <x v="7"/>
    <x v="3"/>
    <x v="553"/>
    <x v="7"/>
    <s v="Tablet"/>
    <x v="0"/>
    <s v="Yes"/>
    <x v="4"/>
  </r>
  <r>
    <x v="602"/>
    <x v="14"/>
    <x v="2"/>
    <x v="1"/>
    <x v="2"/>
    <x v="3"/>
    <x v="9"/>
    <x v="3"/>
    <x v="554"/>
    <x v="5"/>
    <s v="TV"/>
    <x v="1"/>
    <s v="Yes"/>
    <x v="0"/>
  </r>
  <r>
    <x v="603"/>
    <x v="5"/>
    <x v="2"/>
    <x v="0"/>
    <x v="0"/>
    <x v="1"/>
    <x v="22"/>
    <x v="3"/>
    <x v="555"/>
    <x v="3"/>
    <s v="Laptop"/>
    <x v="1"/>
    <s v="No"/>
    <x v="3"/>
  </r>
  <r>
    <x v="604"/>
    <x v="13"/>
    <x v="1"/>
    <x v="0"/>
    <x v="0"/>
    <x v="1"/>
    <x v="7"/>
    <x v="5"/>
    <x v="556"/>
    <x v="4"/>
    <s v="Mobile"/>
    <x v="1"/>
    <s v="No"/>
    <x v="4"/>
  </r>
  <r>
    <x v="605"/>
    <x v="8"/>
    <x v="1"/>
    <x v="1"/>
    <x v="0"/>
    <x v="3"/>
    <x v="7"/>
    <x v="0"/>
    <x v="557"/>
    <x v="7"/>
    <s v="TV"/>
    <x v="0"/>
    <s v="No"/>
    <x v="2"/>
  </r>
  <r>
    <x v="606"/>
    <x v="3"/>
    <x v="2"/>
    <x v="2"/>
    <x v="0"/>
    <x v="1"/>
    <x v="22"/>
    <x v="0"/>
    <x v="558"/>
    <x v="0"/>
    <s v="TV"/>
    <x v="1"/>
    <s v="Yes"/>
    <x v="2"/>
  </r>
  <r>
    <x v="607"/>
    <x v="22"/>
    <x v="2"/>
    <x v="2"/>
    <x v="1"/>
    <x v="4"/>
    <x v="3"/>
    <x v="3"/>
    <x v="559"/>
    <x v="5"/>
    <s v="Laptop"/>
    <x v="0"/>
    <s v="Yes"/>
    <x v="0"/>
  </r>
  <r>
    <x v="608"/>
    <x v="2"/>
    <x v="2"/>
    <x v="1"/>
    <x v="1"/>
    <x v="3"/>
    <x v="1"/>
    <x v="4"/>
    <x v="560"/>
    <x v="7"/>
    <s v="Mobile"/>
    <x v="1"/>
    <s v="No"/>
    <x v="4"/>
  </r>
  <r>
    <x v="609"/>
    <x v="13"/>
    <x v="0"/>
    <x v="1"/>
    <x v="2"/>
    <x v="0"/>
    <x v="22"/>
    <x v="7"/>
    <x v="561"/>
    <x v="2"/>
    <s v="Mobile"/>
    <x v="0"/>
    <s v="Yes"/>
    <x v="0"/>
  </r>
  <r>
    <x v="610"/>
    <x v="4"/>
    <x v="2"/>
    <x v="2"/>
    <x v="2"/>
    <x v="2"/>
    <x v="15"/>
    <x v="7"/>
    <x v="562"/>
    <x v="0"/>
    <s v="Laptop"/>
    <x v="1"/>
    <s v="No"/>
    <x v="3"/>
  </r>
  <r>
    <x v="611"/>
    <x v="21"/>
    <x v="0"/>
    <x v="0"/>
    <x v="2"/>
    <x v="1"/>
    <x v="16"/>
    <x v="2"/>
    <x v="563"/>
    <x v="6"/>
    <s v="TV"/>
    <x v="1"/>
    <s v="Yes"/>
    <x v="0"/>
  </r>
  <r>
    <x v="612"/>
    <x v="5"/>
    <x v="1"/>
    <x v="1"/>
    <x v="2"/>
    <x v="0"/>
    <x v="4"/>
    <x v="1"/>
    <x v="564"/>
    <x v="0"/>
    <s v="Laptop"/>
    <x v="1"/>
    <s v="Yes"/>
    <x v="4"/>
  </r>
  <r>
    <x v="613"/>
    <x v="3"/>
    <x v="1"/>
    <x v="1"/>
    <x v="2"/>
    <x v="0"/>
    <x v="20"/>
    <x v="6"/>
    <x v="565"/>
    <x v="3"/>
    <s v="Laptop"/>
    <x v="1"/>
    <s v="Yes"/>
    <x v="1"/>
  </r>
  <r>
    <x v="614"/>
    <x v="21"/>
    <x v="2"/>
    <x v="2"/>
    <x v="0"/>
    <x v="3"/>
    <x v="16"/>
    <x v="2"/>
    <x v="566"/>
    <x v="1"/>
    <s v="Laptop"/>
    <x v="1"/>
    <s v="No"/>
    <x v="0"/>
  </r>
  <r>
    <x v="615"/>
    <x v="12"/>
    <x v="0"/>
    <x v="2"/>
    <x v="1"/>
    <x v="2"/>
    <x v="23"/>
    <x v="5"/>
    <x v="319"/>
    <x v="1"/>
    <s v="Mobile"/>
    <x v="1"/>
    <s v="No"/>
    <x v="0"/>
  </r>
  <r>
    <x v="616"/>
    <x v="2"/>
    <x v="0"/>
    <x v="0"/>
    <x v="0"/>
    <x v="5"/>
    <x v="16"/>
    <x v="3"/>
    <x v="567"/>
    <x v="0"/>
    <s v="Tablet"/>
    <x v="0"/>
    <s v="No"/>
    <x v="1"/>
  </r>
  <r>
    <x v="617"/>
    <x v="4"/>
    <x v="1"/>
    <x v="1"/>
    <x v="1"/>
    <x v="2"/>
    <x v="25"/>
    <x v="2"/>
    <x v="568"/>
    <x v="0"/>
    <s v="TV"/>
    <x v="0"/>
    <s v="Yes"/>
    <x v="4"/>
  </r>
  <r>
    <x v="618"/>
    <x v="21"/>
    <x v="2"/>
    <x v="2"/>
    <x v="2"/>
    <x v="3"/>
    <x v="2"/>
    <x v="3"/>
    <x v="569"/>
    <x v="1"/>
    <s v="Laptop"/>
    <x v="1"/>
    <s v="No"/>
    <x v="4"/>
  </r>
  <r>
    <x v="619"/>
    <x v="13"/>
    <x v="0"/>
    <x v="2"/>
    <x v="0"/>
    <x v="2"/>
    <x v="16"/>
    <x v="3"/>
    <x v="570"/>
    <x v="5"/>
    <s v="Laptop"/>
    <x v="1"/>
    <s v="Yes"/>
    <x v="4"/>
  </r>
  <r>
    <x v="620"/>
    <x v="21"/>
    <x v="1"/>
    <x v="1"/>
    <x v="0"/>
    <x v="2"/>
    <x v="13"/>
    <x v="4"/>
    <x v="571"/>
    <x v="0"/>
    <s v="Mobile"/>
    <x v="1"/>
    <s v="Yes"/>
    <x v="3"/>
  </r>
  <r>
    <x v="621"/>
    <x v="18"/>
    <x v="1"/>
    <x v="1"/>
    <x v="1"/>
    <x v="4"/>
    <x v="2"/>
    <x v="5"/>
    <x v="572"/>
    <x v="0"/>
    <s v="Mobile"/>
    <x v="0"/>
    <s v="Yes"/>
    <x v="3"/>
  </r>
  <r>
    <x v="622"/>
    <x v="18"/>
    <x v="1"/>
    <x v="2"/>
    <x v="1"/>
    <x v="0"/>
    <x v="14"/>
    <x v="6"/>
    <x v="573"/>
    <x v="3"/>
    <s v="TV"/>
    <x v="1"/>
    <s v="No"/>
    <x v="0"/>
  </r>
  <r>
    <x v="623"/>
    <x v="17"/>
    <x v="1"/>
    <x v="0"/>
    <x v="1"/>
    <x v="1"/>
    <x v="22"/>
    <x v="5"/>
    <x v="574"/>
    <x v="4"/>
    <s v="Tablet"/>
    <x v="1"/>
    <s v="No"/>
    <x v="3"/>
  </r>
  <r>
    <x v="624"/>
    <x v="14"/>
    <x v="2"/>
    <x v="0"/>
    <x v="2"/>
    <x v="3"/>
    <x v="4"/>
    <x v="7"/>
    <x v="575"/>
    <x v="3"/>
    <s v="Laptop"/>
    <x v="1"/>
    <s v="No"/>
    <x v="1"/>
  </r>
  <r>
    <x v="625"/>
    <x v="3"/>
    <x v="1"/>
    <x v="1"/>
    <x v="1"/>
    <x v="2"/>
    <x v="20"/>
    <x v="1"/>
    <x v="576"/>
    <x v="4"/>
    <s v="TV"/>
    <x v="1"/>
    <s v="Yes"/>
    <x v="0"/>
  </r>
  <r>
    <x v="626"/>
    <x v="6"/>
    <x v="0"/>
    <x v="0"/>
    <x v="0"/>
    <x v="3"/>
    <x v="22"/>
    <x v="3"/>
    <x v="577"/>
    <x v="4"/>
    <s v="Mobile"/>
    <x v="1"/>
    <s v="No"/>
    <x v="4"/>
  </r>
  <r>
    <x v="627"/>
    <x v="2"/>
    <x v="0"/>
    <x v="1"/>
    <x v="0"/>
    <x v="4"/>
    <x v="2"/>
    <x v="7"/>
    <x v="578"/>
    <x v="6"/>
    <s v="Tablet"/>
    <x v="1"/>
    <s v="Yes"/>
    <x v="4"/>
  </r>
  <r>
    <x v="628"/>
    <x v="14"/>
    <x v="0"/>
    <x v="1"/>
    <x v="0"/>
    <x v="1"/>
    <x v="0"/>
    <x v="5"/>
    <x v="579"/>
    <x v="1"/>
    <s v="Mobile"/>
    <x v="0"/>
    <s v="No"/>
    <x v="2"/>
  </r>
  <r>
    <x v="629"/>
    <x v="1"/>
    <x v="2"/>
    <x v="0"/>
    <x v="2"/>
    <x v="0"/>
    <x v="14"/>
    <x v="0"/>
    <x v="580"/>
    <x v="5"/>
    <s v="TV"/>
    <x v="0"/>
    <s v="No"/>
    <x v="2"/>
  </r>
  <r>
    <x v="630"/>
    <x v="14"/>
    <x v="1"/>
    <x v="2"/>
    <x v="2"/>
    <x v="4"/>
    <x v="18"/>
    <x v="5"/>
    <x v="581"/>
    <x v="3"/>
    <s v="TV"/>
    <x v="0"/>
    <s v="No"/>
    <x v="4"/>
  </r>
  <r>
    <x v="631"/>
    <x v="18"/>
    <x v="0"/>
    <x v="0"/>
    <x v="1"/>
    <x v="2"/>
    <x v="9"/>
    <x v="7"/>
    <x v="582"/>
    <x v="3"/>
    <s v="Mobile"/>
    <x v="1"/>
    <s v="Yes"/>
    <x v="3"/>
  </r>
  <r>
    <x v="632"/>
    <x v="17"/>
    <x v="2"/>
    <x v="0"/>
    <x v="0"/>
    <x v="1"/>
    <x v="19"/>
    <x v="2"/>
    <x v="583"/>
    <x v="5"/>
    <s v="Tablet"/>
    <x v="1"/>
    <s v="Yes"/>
    <x v="3"/>
  </r>
  <r>
    <x v="633"/>
    <x v="7"/>
    <x v="1"/>
    <x v="1"/>
    <x v="1"/>
    <x v="5"/>
    <x v="13"/>
    <x v="2"/>
    <x v="584"/>
    <x v="7"/>
    <s v="Mobile"/>
    <x v="1"/>
    <s v="Yes"/>
    <x v="4"/>
  </r>
  <r>
    <x v="634"/>
    <x v="13"/>
    <x v="2"/>
    <x v="2"/>
    <x v="1"/>
    <x v="4"/>
    <x v="24"/>
    <x v="0"/>
    <x v="280"/>
    <x v="5"/>
    <s v="TV"/>
    <x v="0"/>
    <s v="No"/>
    <x v="4"/>
  </r>
  <r>
    <x v="635"/>
    <x v="0"/>
    <x v="1"/>
    <x v="1"/>
    <x v="2"/>
    <x v="0"/>
    <x v="20"/>
    <x v="3"/>
    <x v="585"/>
    <x v="4"/>
    <s v="Tablet"/>
    <x v="0"/>
    <s v="No"/>
    <x v="2"/>
  </r>
  <r>
    <x v="636"/>
    <x v="12"/>
    <x v="2"/>
    <x v="0"/>
    <x v="0"/>
    <x v="0"/>
    <x v="20"/>
    <x v="5"/>
    <x v="586"/>
    <x v="1"/>
    <s v="Tablet"/>
    <x v="1"/>
    <s v="Yes"/>
    <x v="4"/>
  </r>
  <r>
    <x v="637"/>
    <x v="6"/>
    <x v="0"/>
    <x v="2"/>
    <x v="2"/>
    <x v="4"/>
    <x v="4"/>
    <x v="0"/>
    <x v="587"/>
    <x v="6"/>
    <s v="TV"/>
    <x v="1"/>
    <s v="No"/>
    <x v="1"/>
  </r>
  <r>
    <x v="638"/>
    <x v="10"/>
    <x v="0"/>
    <x v="2"/>
    <x v="1"/>
    <x v="4"/>
    <x v="4"/>
    <x v="2"/>
    <x v="588"/>
    <x v="4"/>
    <s v="Tablet"/>
    <x v="0"/>
    <s v="Yes"/>
    <x v="2"/>
  </r>
  <r>
    <x v="639"/>
    <x v="20"/>
    <x v="1"/>
    <x v="2"/>
    <x v="2"/>
    <x v="0"/>
    <x v="2"/>
    <x v="4"/>
    <x v="589"/>
    <x v="2"/>
    <s v="TV"/>
    <x v="0"/>
    <s v="Yes"/>
    <x v="0"/>
  </r>
  <r>
    <x v="640"/>
    <x v="2"/>
    <x v="1"/>
    <x v="0"/>
    <x v="2"/>
    <x v="5"/>
    <x v="4"/>
    <x v="6"/>
    <x v="590"/>
    <x v="3"/>
    <s v="Tablet"/>
    <x v="0"/>
    <s v="Yes"/>
    <x v="0"/>
  </r>
  <r>
    <x v="641"/>
    <x v="2"/>
    <x v="1"/>
    <x v="1"/>
    <x v="1"/>
    <x v="0"/>
    <x v="6"/>
    <x v="4"/>
    <x v="355"/>
    <x v="2"/>
    <s v="TV"/>
    <x v="1"/>
    <s v="No"/>
    <x v="4"/>
  </r>
  <r>
    <x v="642"/>
    <x v="1"/>
    <x v="0"/>
    <x v="0"/>
    <x v="0"/>
    <x v="0"/>
    <x v="8"/>
    <x v="3"/>
    <x v="591"/>
    <x v="3"/>
    <s v="Laptop"/>
    <x v="1"/>
    <s v="Yes"/>
    <x v="2"/>
  </r>
  <r>
    <x v="643"/>
    <x v="0"/>
    <x v="0"/>
    <x v="0"/>
    <x v="2"/>
    <x v="4"/>
    <x v="14"/>
    <x v="2"/>
    <x v="592"/>
    <x v="6"/>
    <s v="Tablet"/>
    <x v="0"/>
    <s v="Yes"/>
    <x v="1"/>
  </r>
  <r>
    <x v="644"/>
    <x v="2"/>
    <x v="2"/>
    <x v="1"/>
    <x v="0"/>
    <x v="4"/>
    <x v="8"/>
    <x v="3"/>
    <x v="403"/>
    <x v="1"/>
    <s v="TV"/>
    <x v="1"/>
    <s v="Yes"/>
    <x v="4"/>
  </r>
  <r>
    <x v="645"/>
    <x v="18"/>
    <x v="2"/>
    <x v="1"/>
    <x v="1"/>
    <x v="5"/>
    <x v="18"/>
    <x v="5"/>
    <x v="313"/>
    <x v="3"/>
    <s v="Tablet"/>
    <x v="1"/>
    <s v="No"/>
    <x v="4"/>
  </r>
  <r>
    <x v="646"/>
    <x v="15"/>
    <x v="1"/>
    <x v="1"/>
    <x v="0"/>
    <x v="0"/>
    <x v="21"/>
    <x v="6"/>
    <x v="593"/>
    <x v="3"/>
    <s v="Tablet"/>
    <x v="1"/>
    <s v="Yes"/>
    <x v="1"/>
  </r>
  <r>
    <x v="647"/>
    <x v="5"/>
    <x v="0"/>
    <x v="1"/>
    <x v="1"/>
    <x v="0"/>
    <x v="6"/>
    <x v="7"/>
    <x v="594"/>
    <x v="6"/>
    <s v="Tablet"/>
    <x v="0"/>
    <s v="Yes"/>
    <x v="4"/>
  </r>
  <r>
    <x v="648"/>
    <x v="16"/>
    <x v="2"/>
    <x v="1"/>
    <x v="0"/>
    <x v="5"/>
    <x v="9"/>
    <x v="3"/>
    <x v="595"/>
    <x v="7"/>
    <s v="Tablet"/>
    <x v="0"/>
    <s v="No"/>
    <x v="4"/>
  </r>
  <r>
    <x v="649"/>
    <x v="4"/>
    <x v="2"/>
    <x v="0"/>
    <x v="1"/>
    <x v="1"/>
    <x v="16"/>
    <x v="5"/>
    <x v="596"/>
    <x v="0"/>
    <s v="Tablet"/>
    <x v="0"/>
    <s v="Yes"/>
    <x v="0"/>
  </r>
  <r>
    <x v="650"/>
    <x v="11"/>
    <x v="0"/>
    <x v="1"/>
    <x v="2"/>
    <x v="2"/>
    <x v="25"/>
    <x v="3"/>
    <x v="597"/>
    <x v="1"/>
    <s v="Mobile"/>
    <x v="0"/>
    <s v="No"/>
    <x v="4"/>
  </r>
  <r>
    <x v="651"/>
    <x v="5"/>
    <x v="0"/>
    <x v="2"/>
    <x v="0"/>
    <x v="3"/>
    <x v="5"/>
    <x v="7"/>
    <x v="598"/>
    <x v="5"/>
    <s v="Mobile"/>
    <x v="0"/>
    <s v="Yes"/>
    <x v="3"/>
  </r>
  <r>
    <x v="652"/>
    <x v="6"/>
    <x v="2"/>
    <x v="1"/>
    <x v="0"/>
    <x v="5"/>
    <x v="14"/>
    <x v="5"/>
    <x v="599"/>
    <x v="4"/>
    <s v="Mobile"/>
    <x v="0"/>
    <s v="No"/>
    <x v="0"/>
  </r>
  <r>
    <x v="653"/>
    <x v="12"/>
    <x v="1"/>
    <x v="2"/>
    <x v="0"/>
    <x v="5"/>
    <x v="12"/>
    <x v="6"/>
    <x v="600"/>
    <x v="0"/>
    <s v="Laptop"/>
    <x v="0"/>
    <s v="Yes"/>
    <x v="2"/>
  </r>
  <r>
    <x v="654"/>
    <x v="3"/>
    <x v="1"/>
    <x v="1"/>
    <x v="1"/>
    <x v="4"/>
    <x v="25"/>
    <x v="0"/>
    <x v="601"/>
    <x v="4"/>
    <s v="TV"/>
    <x v="1"/>
    <s v="Yes"/>
    <x v="0"/>
  </r>
  <r>
    <x v="655"/>
    <x v="7"/>
    <x v="0"/>
    <x v="0"/>
    <x v="2"/>
    <x v="2"/>
    <x v="1"/>
    <x v="5"/>
    <x v="602"/>
    <x v="4"/>
    <s v="Mobile"/>
    <x v="1"/>
    <s v="No"/>
    <x v="4"/>
  </r>
  <r>
    <x v="656"/>
    <x v="4"/>
    <x v="1"/>
    <x v="2"/>
    <x v="0"/>
    <x v="1"/>
    <x v="12"/>
    <x v="1"/>
    <x v="603"/>
    <x v="1"/>
    <s v="Laptop"/>
    <x v="1"/>
    <s v="No"/>
    <x v="0"/>
  </r>
  <r>
    <x v="657"/>
    <x v="20"/>
    <x v="0"/>
    <x v="1"/>
    <x v="0"/>
    <x v="3"/>
    <x v="24"/>
    <x v="0"/>
    <x v="604"/>
    <x v="0"/>
    <s v="TV"/>
    <x v="1"/>
    <s v="No"/>
    <x v="0"/>
  </r>
  <r>
    <x v="658"/>
    <x v="2"/>
    <x v="0"/>
    <x v="2"/>
    <x v="1"/>
    <x v="1"/>
    <x v="20"/>
    <x v="6"/>
    <x v="605"/>
    <x v="2"/>
    <s v="Tablet"/>
    <x v="1"/>
    <s v="No"/>
    <x v="4"/>
  </r>
  <r>
    <x v="659"/>
    <x v="18"/>
    <x v="1"/>
    <x v="2"/>
    <x v="0"/>
    <x v="0"/>
    <x v="5"/>
    <x v="1"/>
    <x v="606"/>
    <x v="6"/>
    <s v="Laptop"/>
    <x v="1"/>
    <s v="No"/>
    <x v="0"/>
  </r>
  <r>
    <x v="660"/>
    <x v="0"/>
    <x v="0"/>
    <x v="0"/>
    <x v="1"/>
    <x v="2"/>
    <x v="16"/>
    <x v="1"/>
    <x v="607"/>
    <x v="4"/>
    <s v="TV"/>
    <x v="0"/>
    <s v="Yes"/>
    <x v="0"/>
  </r>
  <r>
    <x v="661"/>
    <x v="15"/>
    <x v="2"/>
    <x v="2"/>
    <x v="0"/>
    <x v="3"/>
    <x v="7"/>
    <x v="6"/>
    <x v="608"/>
    <x v="2"/>
    <s v="Laptop"/>
    <x v="1"/>
    <s v="No"/>
    <x v="1"/>
  </r>
  <r>
    <x v="662"/>
    <x v="15"/>
    <x v="2"/>
    <x v="1"/>
    <x v="1"/>
    <x v="5"/>
    <x v="0"/>
    <x v="7"/>
    <x v="609"/>
    <x v="0"/>
    <s v="Mobile"/>
    <x v="0"/>
    <s v="No"/>
    <x v="2"/>
  </r>
  <r>
    <x v="663"/>
    <x v="16"/>
    <x v="2"/>
    <x v="0"/>
    <x v="1"/>
    <x v="5"/>
    <x v="21"/>
    <x v="3"/>
    <x v="360"/>
    <x v="7"/>
    <s v="TV"/>
    <x v="1"/>
    <s v="Yes"/>
    <x v="4"/>
  </r>
  <r>
    <x v="664"/>
    <x v="4"/>
    <x v="0"/>
    <x v="1"/>
    <x v="1"/>
    <x v="5"/>
    <x v="16"/>
    <x v="3"/>
    <x v="610"/>
    <x v="7"/>
    <s v="Tablet"/>
    <x v="0"/>
    <s v="Yes"/>
    <x v="3"/>
  </r>
  <r>
    <x v="665"/>
    <x v="4"/>
    <x v="0"/>
    <x v="0"/>
    <x v="2"/>
    <x v="1"/>
    <x v="20"/>
    <x v="4"/>
    <x v="83"/>
    <x v="1"/>
    <s v="Tablet"/>
    <x v="0"/>
    <s v="No"/>
    <x v="2"/>
  </r>
  <r>
    <x v="666"/>
    <x v="8"/>
    <x v="1"/>
    <x v="2"/>
    <x v="2"/>
    <x v="2"/>
    <x v="10"/>
    <x v="4"/>
    <x v="611"/>
    <x v="5"/>
    <s v="Tablet"/>
    <x v="1"/>
    <s v="No"/>
    <x v="1"/>
  </r>
  <r>
    <x v="667"/>
    <x v="2"/>
    <x v="2"/>
    <x v="2"/>
    <x v="2"/>
    <x v="1"/>
    <x v="8"/>
    <x v="0"/>
    <x v="612"/>
    <x v="1"/>
    <s v="Tablet"/>
    <x v="1"/>
    <s v="Yes"/>
    <x v="3"/>
  </r>
  <r>
    <x v="668"/>
    <x v="2"/>
    <x v="1"/>
    <x v="1"/>
    <x v="0"/>
    <x v="3"/>
    <x v="7"/>
    <x v="7"/>
    <x v="613"/>
    <x v="2"/>
    <s v="Mobile"/>
    <x v="0"/>
    <s v="Yes"/>
    <x v="2"/>
  </r>
  <r>
    <x v="669"/>
    <x v="3"/>
    <x v="2"/>
    <x v="1"/>
    <x v="0"/>
    <x v="1"/>
    <x v="13"/>
    <x v="2"/>
    <x v="614"/>
    <x v="5"/>
    <s v="Mobile"/>
    <x v="1"/>
    <s v="No"/>
    <x v="0"/>
  </r>
  <r>
    <x v="670"/>
    <x v="11"/>
    <x v="0"/>
    <x v="2"/>
    <x v="2"/>
    <x v="3"/>
    <x v="25"/>
    <x v="6"/>
    <x v="615"/>
    <x v="5"/>
    <s v="Tablet"/>
    <x v="1"/>
    <s v="No"/>
    <x v="2"/>
  </r>
  <r>
    <x v="671"/>
    <x v="18"/>
    <x v="1"/>
    <x v="2"/>
    <x v="0"/>
    <x v="1"/>
    <x v="15"/>
    <x v="4"/>
    <x v="567"/>
    <x v="6"/>
    <s v="Tablet"/>
    <x v="0"/>
    <s v="No"/>
    <x v="4"/>
  </r>
  <r>
    <x v="672"/>
    <x v="1"/>
    <x v="2"/>
    <x v="1"/>
    <x v="0"/>
    <x v="4"/>
    <x v="15"/>
    <x v="7"/>
    <x v="616"/>
    <x v="3"/>
    <s v="Tablet"/>
    <x v="1"/>
    <s v="Yes"/>
    <x v="1"/>
  </r>
  <r>
    <x v="673"/>
    <x v="2"/>
    <x v="1"/>
    <x v="2"/>
    <x v="2"/>
    <x v="5"/>
    <x v="2"/>
    <x v="0"/>
    <x v="617"/>
    <x v="0"/>
    <s v="Laptop"/>
    <x v="0"/>
    <s v="Yes"/>
    <x v="1"/>
  </r>
  <r>
    <x v="674"/>
    <x v="13"/>
    <x v="1"/>
    <x v="2"/>
    <x v="0"/>
    <x v="3"/>
    <x v="10"/>
    <x v="5"/>
    <x v="618"/>
    <x v="1"/>
    <s v="Laptop"/>
    <x v="1"/>
    <s v="Yes"/>
    <x v="2"/>
  </r>
  <r>
    <x v="675"/>
    <x v="6"/>
    <x v="1"/>
    <x v="0"/>
    <x v="2"/>
    <x v="3"/>
    <x v="3"/>
    <x v="7"/>
    <x v="619"/>
    <x v="5"/>
    <s v="Laptop"/>
    <x v="1"/>
    <s v="Yes"/>
    <x v="4"/>
  </r>
  <r>
    <x v="676"/>
    <x v="15"/>
    <x v="0"/>
    <x v="0"/>
    <x v="0"/>
    <x v="5"/>
    <x v="11"/>
    <x v="2"/>
    <x v="620"/>
    <x v="2"/>
    <s v="Laptop"/>
    <x v="0"/>
    <s v="No"/>
    <x v="0"/>
  </r>
  <r>
    <x v="677"/>
    <x v="1"/>
    <x v="1"/>
    <x v="0"/>
    <x v="0"/>
    <x v="5"/>
    <x v="8"/>
    <x v="7"/>
    <x v="621"/>
    <x v="4"/>
    <s v="Mobile"/>
    <x v="0"/>
    <s v="No"/>
    <x v="4"/>
  </r>
  <r>
    <x v="678"/>
    <x v="17"/>
    <x v="2"/>
    <x v="1"/>
    <x v="2"/>
    <x v="4"/>
    <x v="0"/>
    <x v="0"/>
    <x v="622"/>
    <x v="3"/>
    <s v="Laptop"/>
    <x v="0"/>
    <s v="Yes"/>
    <x v="3"/>
  </r>
  <r>
    <x v="679"/>
    <x v="13"/>
    <x v="0"/>
    <x v="1"/>
    <x v="0"/>
    <x v="2"/>
    <x v="10"/>
    <x v="4"/>
    <x v="302"/>
    <x v="5"/>
    <s v="Mobile"/>
    <x v="1"/>
    <s v="Yes"/>
    <x v="4"/>
  </r>
  <r>
    <x v="680"/>
    <x v="20"/>
    <x v="2"/>
    <x v="2"/>
    <x v="1"/>
    <x v="0"/>
    <x v="6"/>
    <x v="0"/>
    <x v="623"/>
    <x v="1"/>
    <s v="Laptop"/>
    <x v="1"/>
    <s v="No"/>
    <x v="2"/>
  </r>
  <r>
    <x v="681"/>
    <x v="12"/>
    <x v="0"/>
    <x v="0"/>
    <x v="2"/>
    <x v="5"/>
    <x v="4"/>
    <x v="2"/>
    <x v="624"/>
    <x v="1"/>
    <s v="Tablet"/>
    <x v="1"/>
    <s v="Yes"/>
    <x v="1"/>
  </r>
  <r>
    <x v="682"/>
    <x v="21"/>
    <x v="1"/>
    <x v="0"/>
    <x v="0"/>
    <x v="3"/>
    <x v="24"/>
    <x v="4"/>
    <x v="625"/>
    <x v="2"/>
    <s v="TV"/>
    <x v="1"/>
    <s v="No"/>
    <x v="0"/>
  </r>
  <r>
    <x v="683"/>
    <x v="0"/>
    <x v="2"/>
    <x v="0"/>
    <x v="0"/>
    <x v="0"/>
    <x v="1"/>
    <x v="0"/>
    <x v="626"/>
    <x v="2"/>
    <s v="Mobile"/>
    <x v="1"/>
    <s v="Yes"/>
    <x v="1"/>
  </r>
  <r>
    <x v="684"/>
    <x v="14"/>
    <x v="2"/>
    <x v="0"/>
    <x v="1"/>
    <x v="5"/>
    <x v="9"/>
    <x v="7"/>
    <x v="627"/>
    <x v="7"/>
    <s v="TV"/>
    <x v="1"/>
    <s v="No"/>
    <x v="0"/>
  </r>
  <r>
    <x v="685"/>
    <x v="22"/>
    <x v="0"/>
    <x v="1"/>
    <x v="1"/>
    <x v="2"/>
    <x v="22"/>
    <x v="6"/>
    <x v="628"/>
    <x v="4"/>
    <s v="Mobile"/>
    <x v="1"/>
    <s v="Yes"/>
    <x v="0"/>
  </r>
  <r>
    <x v="686"/>
    <x v="21"/>
    <x v="1"/>
    <x v="2"/>
    <x v="1"/>
    <x v="4"/>
    <x v="22"/>
    <x v="1"/>
    <x v="629"/>
    <x v="0"/>
    <s v="Mobile"/>
    <x v="0"/>
    <s v="No"/>
    <x v="4"/>
  </r>
  <r>
    <x v="687"/>
    <x v="8"/>
    <x v="1"/>
    <x v="1"/>
    <x v="2"/>
    <x v="1"/>
    <x v="0"/>
    <x v="6"/>
    <x v="131"/>
    <x v="0"/>
    <s v="Tablet"/>
    <x v="1"/>
    <s v="Yes"/>
    <x v="4"/>
  </r>
  <r>
    <x v="688"/>
    <x v="12"/>
    <x v="2"/>
    <x v="2"/>
    <x v="1"/>
    <x v="2"/>
    <x v="18"/>
    <x v="3"/>
    <x v="630"/>
    <x v="0"/>
    <s v="TV"/>
    <x v="0"/>
    <s v="Yes"/>
    <x v="2"/>
  </r>
  <r>
    <x v="689"/>
    <x v="13"/>
    <x v="2"/>
    <x v="2"/>
    <x v="1"/>
    <x v="5"/>
    <x v="5"/>
    <x v="3"/>
    <x v="434"/>
    <x v="3"/>
    <s v="Laptop"/>
    <x v="1"/>
    <s v="Yes"/>
    <x v="0"/>
  </r>
  <r>
    <x v="690"/>
    <x v="5"/>
    <x v="0"/>
    <x v="2"/>
    <x v="0"/>
    <x v="0"/>
    <x v="21"/>
    <x v="2"/>
    <x v="631"/>
    <x v="0"/>
    <s v="Laptop"/>
    <x v="0"/>
    <s v="Yes"/>
    <x v="4"/>
  </r>
  <r>
    <x v="691"/>
    <x v="5"/>
    <x v="1"/>
    <x v="1"/>
    <x v="0"/>
    <x v="0"/>
    <x v="21"/>
    <x v="6"/>
    <x v="632"/>
    <x v="2"/>
    <s v="Tablet"/>
    <x v="0"/>
    <s v="No"/>
    <x v="1"/>
  </r>
  <r>
    <x v="692"/>
    <x v="0"/>
    <x v="2"/>
    <x v="1"/>
    <x v="2"/>
    <x v="2"/>
    <x v="22"/>
    <x v="0"/>
    <x v="49"/>
    <x v="6"/>
    <s v="Tablet"/>
    <x v="1"/>
    <s v="Yes"/>
    <x v="2"/>
  </r>
  <r>
    <x v="693"/>
    <x v="22"/>
    <x v="1"/>
    <x v="1"/>
    <x v="2"/>
    <x v="3"/>
    <x v="17"/>
    <x v="1"/>
    <x v="633"/>
    <x v="1"/>
    <s v="TV"/>
    <x v="0"/>
    <s v="Yes"/>
    <x v="4"/>
  </r>
  <r>
    <x v="694"/>
    <x v="22"/>
    <x v="0"/>
    <x v="0"/>
    <x v="0"/>
    <x v="2"/>
    <x v="2"/>
    <x v="5"/>
    <x v="634"/>
    <x v="0"/>
    <s v="Mobile"/>
    <x v="0"/>
    <s v="No"/>
    <x v="2"/>
  </r>
  <r>
    <x v="695"/>
    <x v="20"/>
    <x v="1"/>
    <x v="1"/>
    <x v="2"/>
    <x v="1"/>
    <x v="15"/>
    <x v="0"/>
    <x v="635"/>
    <x v="6"/>
    <s v="Laptop"/>
    <x v="1"/>
    <s v="Yes"/>
    <x v="1"/>
  </r>
  <r>
    <x v="696"/>
    <x v="18"/>
    <x v="1"/>
    <x v="2"/>
    <x v="2"/>
    <x v="3"/>
    <x v="10"/>
    <x v="4"/>
    <x v="636"/>
    <x v="0"/>
    <s v="Mobile"/>
    <x v="0"/>
    <s v="Yes"/>
    <x v="2"/>
  </r>
  <r>
    <x v="697"/>
    <x v="17"/>
    <x v="0"/>
    <x v="0"/>
    <x v="2"/>
    <x v="3"/>
    <x v="11"/>
    <x v="5"/>
    <x v="637"/>
    <x v="5"/>
    <s v="Mobile"/>
    <x v="0"/>
    <s v="Yes"/>
    <x v="2"/>
  </r>
  <r>
    <x v="698"/>
    <x v="6"/>
    <x v="2"/>
    <x v="0"/>
    <x v="1"/>
    <x v="4"/>
    <x v="17"/>
    <x v="3"/>
    <x v="638"/>
    <x v="3"/>
    <s v="Tablet"/>
    <x v="1"/>
    <s v="No"/>
    <x v="4"/>
  </r>
  <r>
    <x v="699"/>
    <x v="20"/>
    <x v="2"/>
    <x v="2"/>
    <x v="1"/>
    <x v="3"/>
    <x v="3"/>
    <x v="4"/>
    <x v="639"/>
    <x v="7"/>
    <s v="Laptop"/>
    <x v="0"/>
    <s v="Yes"/>
    <x v="2"/>
  </r>
  <r>
    <x v="700"/>
    <x v="21"/>
    <x v="1"/>
    <x v="0"/>
    <x v="1"/>
    <x v="1"/>
    <x v="3"/>
    <x v="5"/>
    <x v="263"/>
    <x v="7"/>
    <s v="Tablet"/>
    <x v="1"/>
    <s v="No"/>
    <x v="2"/>
  </r>
  <r>
    <x v="701"/>
    <x v="2"/>
    <x v="0"/>
    <x v="0"/>
    <x v="2"/>
    <x v="5"/>
    <x v="14"/>
    <x v="1"/>
    <x v="141"/>
    <x v="7"/>
    <s v="TV"/>
    <x v="0"/>
    <s v="Yes"/>
    <x v="2"/>
  </r>
  <r>
    <x v="702"/>
    <x v="13"/>
    <x v="2"/>
    <x v="1"/>
    <x v="0"/>
    <x v="5"/>
    <x v="13"/>
    <x v="2"/>
    <x v="325"/>
    <x v="3"/>
    <s v="Laptop"/>
    <x v="0"/>
    <s v="No"/>
    <x v="0"/>
  </r>
  <r>
    <x v="703"/>
    <x v="3"/>
    <x v="0"/>
    <x v="1"/>
    <x v="0"/>
    <x v="0"/>
    <x v="1"/>
    <x v="4"/>
    <x v="296"/>
    <x v="6"/>
    <s v="TV"/>
    <x v="1"/>
    <s v="No"/>
    <x v="3"/>
  </r>
  <r>
    <x v="704"/>
    <x v="20"/>
    <x v="2"/>
    <x v="0"/>
    <x v="2"/>
    <x v="1"/>
    <x v="11"/>
    <x v="6"/>
    <x v="640"/>
    <x v="1"/>
    <s v="Laptop"/>
    <x v="1"/>
    <s v="Yes"/>
    <x v="2"/>
  </r>
  <r>
    <x v="705"/>
    <x v="22"/>
    <x v="0"/>
    <x v="1"/>
    <x v="0"/>
    <x v="3"/>
    <x v="23"/>
    <x v="7"/>
    <x v="641"/>
    <x v="3"/>
    <s v="Mobile"/>
    <x v="1"/>
    <s v="Yes"/>
    <x v="4"/>
  </r>
  <r>
    <x v="706"/>
    <x v="6"/>
    <x v="2"/>
    <x v="0"/>
    <x v="1"/>
    <x v="5"/>
    <x v="0"/>
    <x v="7"/>
    <x v="253"/>
    <x v="3"/>
    <s v="Mobile"/>
    <x v="0"/>
    <s v="Yes"/>
    <x v="0"/>
  </r>
  <r>
    <x v="707"/>
    <x v="16"/>
    <x v="1"/>
    <x v="0"/>
    <x v="2"/>
    <x v="5"/>
    <x v="25"/>
    <x v="3"/>
    <x v="642"/>
    <x v="4"/>
    <s v="Laptop"/>
    <x v="0"/>
    <s v="Yes"/>
    <x v="0"/>
  </r>
  <r>
    <x v="708"/>
    <x v="5"/>
    <x v="2"/>
    <x v="2"/>
    <x v="0"/>
    <x v="2"/>
    <x v="0"/>
    <x v="3"/>
    <x v="643"/>
    <x v="2"/>
    <s v="Tablet"/>
    <x v="0"/>
    <s v="No"/>
    <x v="3"/>
  </r>
  <r>
    <x v="709"/>
    <x v="3"/>
    <x v="1"/>
    <x v="1"/>
    <x v="1"/>
    <x v="3"/>
    <x v="22"/>
    <x v="0"/>
    <x v="644"/>
    <x v="4"/>
    <s v="Laptop"/>
    <x v="0"/>
    <s v="Yes"/>
    <x v="1"/>
  </r>
  <r>
    <x v="710"/>
    <x v="6"/>
    <x v="2"/>
    <x v="2"/>
    <x v="2"/>
    <x v="0"/>
    <x v="16"/>
    <x v="3"/>
    <x v="645"/>
    <x v="3"/>
    <s v="Laptop"/>
    <x v="1"/>
    <s v="Yes"/>
    <x v="0"/>
  </r>
  <r>
    <x v="711"/>
    <x v="18"/>
    <x v="0"/>
    <x v="2"/>
    <x v="1"/>
    <x v="4"/>
    <x v="14"/>
    <x v="3"/>
    <x v="646"/>
    <x v="0"/>
    <s v="Tablet"/>
    <x v="0"/>
    <s v="Yes"/>
    <x v="0"/>
  </r>
  <r>
    <x v="712"/>
    <x v="15"/>
    <x v="2"/>
    <x v="1"/>
    <x v="1"/>
    <x v="4"/>
    <x v="16"/>
    <x v="2"/>
    <x v="647"/>
    <x v="7"/>
    <s v="TV"/>
    <x v="1"/>
    <s v="No"/>
    <x v="1"/>
  </r>
  <r>
    <x v="713"/>
    <x v="13"/>
    <x v="1"/>
    <x v="2"/>
    <x v="1"/>
    <x v="3"/>
    <x v="19"/>
    <x v="3"/>
    <x v="648"/>
    <x v="1"/>
    <s v="Laptop"/>
    <x v="1"/>
    <s v="Yes"/>
    <x v="4"/>
  </r>
  <r>
    <x v="714"/>
    <x v="17"/>
    <x v="2"/>
    <x v="2"/>
    <x v="0"/>
    <x v="2"/>
    <x v="1"/>
    <x v="5"/>
    <x v="649"/>
    <x v="0"/>
    <s v="Laptop"/>
    <x v="0"/>
    <s v="No"/>
    <x v="4"/>
  </r>
  <r>
    <x v="715"/>
    <x v="12"/>
    <x v="1"/>
    <x v="0"/>
    <x v="2"/>
    <x v="5"/>
    <x v="10"/>
    <x v="7"/>
    <x v="650"/>
    <x v="5"/>
    <s v="Tablet"/>
    <x v="1"/>
    <s v="No"/>
    <x v="3"/>
  </r>
  <r>
    <x v="716"/>
    <x v="20"/>
    <x v="2"/>
    <x v="1"/>
    <x v="0"/>
    <x v="1"/>
    <x v="5"/>
    <x v="4"/>
    <x v="399"/>
    <x v="1"/>
    <s v="TV"/>
    <x v="0"/>
    <s v="No"/>
    <x v="0"/>
  </r>
  <r>
    <x v="717"/>
    <x v="1"/>
    <x v="1"/>
    <x v="2"/>
    <x v="0"/>
    <x v="2"/>
    <x v="13"/>
    <x v="3"/>
    <x v="349"/>
    <x v="0"/>
    <s v="Mobile"/>
    <x v="0"/>
    <s v="No"/>
    <x v="1"/>
  </r>
  <r>
    <x v="718"/>
    <x v="19"/>
    <x v="0"/>
    <x v="2"/>
    <x v="2"/>
    <x v="2"/>
    <x v="7"/>
    <x v="5"/>
    <x v="296"/>
    <x v="2"/>
    <s v="Laptop"/>
    <x v="0"/>
    <s v="No"/>
    <x v="0"/>
  </r>
  <r>
    <x v="719"/>
    <x v="21"/>
    <x v="2"/>
    <x v="1"/>
    <x v="2"/>
    <x v="5"/>
    <x v="12"/>
    <x v="6"/>
    <x v="549"/>
    <x v="6"/>
    <s v="Laptop"/>
    <x v="1"/>
    <s v="Yes"/>
    <x v="0"/>
  </r>
  <r>
    <x v="720"/>
    <x v="22"/>
    <x v="0"/>
    <x v="2"/>
    <x v="1"/>
    <x v="5"/>
    <x v="9"/>
    <x v="4"/>
    <x v="651"/>
    <x v="6"/>
    <s v="TV"/>
    <x v="0"/>
    <s v="No"/>
    <x v="4"/>
  </r>
  <r>
    <x v="721"/>
    <x v="11"/>
    <x v="0"/>
    <x v="1"/>
    <x v="2"/>
    <x v="5"/>
    <x v="20"/>
    <x v="6"/>
    <x v="527"/>
    <x v="7"/>
    <s v="Laptop"/>
    <x v="0"/>
    <s v="No"/>
    <x v="4"/>
  </r>
  <r>
    <x v="722"/>
    <x v="21"/>
    <x v="2"/>
    <x v="0"/>
    <x v="2"/>
    <x v="4"/>
    <x v="23"/>
    <x v="1"/>
    <x v="652"/>
    <x v="2"/>
    <s v="TV"/>
    <x v="0"/>
    <s v="Yes"/>
    <x v="0"/>
  </r>
  <r>
    <x v="723"/>
    <x v="14"/>
    <x v="1"/>
    <x v="2"/>
    <x v="1"/>
    <x v="5"/>
    <x v="8"/>
    <x v="1"/>
    <x v="653"/>
    <x v="5"/>
    <s v="Laptop"/>
    <x v="1"/>
    <s v="Yes"/>
    <x v="1"/>
  </r>
  <r>
    <x v="724"/>
    <x v="6"/>
    <x v="0"/>
    <x v="1"/>
    <x v="1"/>
    <x v="4"/>
    <x v="16"/>
    <x v="5"/>
    <x v="654"/>
    <x v="0"/>
    <s v="Laptop"/>
    <x v="0"/>
    <s v="Yes"/>
    <x v="4"/>
  </r>
  <r>
    <x v="725"/>
    <x v="19"/>
    <x v="0"/>
    <x v="0"/>
    <x v="0"/>
    <x v="3"/>
    <x v="2"/>
    <x v="1"/>
    <x v="325"/>
    <x v="2"/>
    <s v="Laptop"/>
    <x v="0"/>
    <s v="No"/>
    <x v="4"/>
  </r>
  <r>
    <x v="726"/>
    <x v="8"/>
    <x v="0"/>
    <x v="1"/>
    <x v="1"/>
    <x v="3"/>
    <x v="10"/>
    <x v="2"/>
    <x v="655"/>
    <x v="7"/>
    <s v="Tablet"/>
    <x v="1"/>
    <s v="Yes"/>
    <x v="4"/>
  </r>
  <r>
    <x v="727"/>
    <x v="7"/>
    <x v="2"/>
    <x v="2"/>
    <x v="0"/>
    <x v="4"/>
    <x v="8"/>
    <x v="3"/>
    <x v="656"/>
    <x v="4"/>
    <s v="Laptop"/>
    <x v="1"/>
    <s v="No"/>
    <x v="4"/>
  </r>
  <r>
    <x v="728"/>
    <x v="4"/>
    <x v="1"/>
    <x v="2"/>
    <x v="2"/>
    <x v="5"/>
    <x v="22"/>
    <x v="3"/>
    <x v="657"/>
    <x v="6"/>
    <s v="TV"/>
    <x v="0"/>
    <s v="Yes"/>
    <x v="3"/>
  </r>
  <r>
    <x v="729"/>
    <x v="14"/>
    <x v="1"/>
    <x v="0"/>
    <x v="1"/>
    <x v="2"/>
    <x v="24"/>
    <x v="4"/>
    <x v="658"/>
    <x v="6"/>
    <s v="Tablet"/>
    <x v="0"/>
    <s v="Yes"/>
    <x v="4"/>
  </r>
  <r>
    <x v="730"/>
    <x v="16"/>
    <x v="1"/>
    <x v="2"/>
    <x v="2"/>
    <x v="4"/>
    <x v="6"/>
    <x v="2"/>
    <x v="659"/>
    <x v="5"/>
    <s v="Laptop"/>
    <x v="0"/>
    <s v="No"/>
    <x v="0"/>
  </r>
  <r>
    <x v="731"/>
    <x v="12"/>
    <x v="1"/>
    <x v="2"/>
    <x v="0"/>
    <x v="4"/>
    <x v="16"/>
    <x v="6"/>
    <x v="448"/>
    <x v="1"/>
    <s v="Laptop"/>
    <x v="1"/>
    <s v="No"/>
    <x v="3"/>
  </r>
  <r>
    <x v="732"/>
    <x v="8"/>
    <x v="2"/>
    <x v="1"/>
    <x v="1"/>
    <x v="3"/>
    <x v="4"/>
    <x v="7"/>
    <x v="660"/>
    <x v="0"/>
    <s v="Mobile"/>
    <x v="1"/>
    <s v="No"/>
    <x v="3"/>
  </r>
  <r>
    <x v="733"/>
    <x v="12"/>
    <x v="1"/>
    <x v="0"/>
    <x v="2"/>
    <x v="3"/>
    <x v="25"/>
    <x v="0"/>
    <x v="661"/>
    <x v="6"/>
    <s v="Tablet"/>
    <x v="1"/>
    <s v="No"/>
    <x v="3"/>
  </r>
  <r>
    <x v="734"/>
    <x v="11"/>
    <x v="2"/>
    <x v="0"/>
    <x v="1"/>
    <x v="1"/>
    <x v="16"/>
    <x v="7"/>
    <x v="361"/>
    <x v="6"/>
    <s v="Tablet"/>
    <x v="1"/>
    <s v="Yes"/>
    <x v="2"/>
  </r>
  <r>
    <x v="735"/>
    <x v="1"/>
    <x v="1"/>
    <x v="1"/>
    <x v="0"/>
    <x v="4"/>
    <x v="7"/>
    <x v="5"/>
    <x v="662"/>
    <x v="4"/>
    <s v="Laptop"/>
    <x v="0"/>
    <s v="Yes"/>
    <x v="3"/>
  </r>
  <r>
    <x v="736"/>
    <x v="2"/>
    <x v="1"/>
    <x v="1"/>
    <x v="0"/>
    <x v="3"/>
    <x v="13"/>
    <x v="6"/>
    <x v="663"/>
    <x v="2"/>
    <s v="Laptop"/>
    <x v="1"/>
    <s v="No"/>
    <x v="1"/>
  </r>
  <r>
    <x v="737"/>
    <x v="2"/>
    <x v="1"/>
    <x v="2"/>
    <x v="0"/>
    <x v="4"/>
    <x v="1"/>
    <x v="6"/>
    <x v="664"/>
    <x v="0"/>
    <s v="Tablet"/>
    <x v="1"/>
    <s v="No"/>
    <x v="2"/>
  </r>
  <r>
    <x v="738"/>
    <x v="19"/>
    <x v="2"/>
    <x v="0"/>
    <x v="0"/>
    <x v="2"/>
    <x v="3"/>
    <x v="3"/>
    <x v="665"/>
    <x v="1"/>
    <s v="Mobile"/>
    <x v="0"/>
    <s v="No"/>
    <x v="2"/>
  </r>
  <r>
    <x v="739"/>
    <x v="21"/>
    <x v="1"/>
    <x v="2"/>
    <x v="0"/>
    <x v="1"/>
    <x v="18"/>
    <x v="0"/>
    <x v="666"/>
    <x v="4"/>
    <s v="Laptop"/>
    <x v="0"/>
    <s v="No"/>
    <x v="3"/>
  </r>
  <r>
    <x v="740"/>
    <x v="15"/>
    <x v="1"/>
    <x v="2"/>
    <x v="0"/>
    <x v="5"/>
    <x v="0"/>
    <x v="3"/>
    <x v="667"/>
    <x v="5"/>
    <s v="Tablet"/>
    <x v="0"/>
    <s v="Yes"/>
    <x v="0"/>
  </r>
  <r>
    <x v="741"/>
    <x v="11"/>
    <x v="0"/>
    <x v="0"/>
    <x v="2"/>
    <x v="0"/>
    <x v="0"/>
    <x v="7"/>
    <x v="668"/>
    <x v="3"/>
    <s v="Tablet"/>
    <x v="0"/>
    <s v="No"/>
    <x v="0"/>
  </r>
  <r>
    <x v="742"/>
    <x v="22"/>
    <x v="1"/>
    <x v="2"/>
    <x v="2"/>
    <x v="3"/>
    <x v="4"/>
    <x v="0"/>
    <x v="669"/>
    <x v="1"/>
    <s v="Tablet"/>
    <x v="1"/>
    <s v="No"/>
    <x v="0"/>
  </r>
  <r>
    <x v="743"/>
    <x v="7"/>
    <x v="0"/>
    <x v="1"/>
    <x v="0"/>
    <x v="5"/>
    <x v="2"/>
    <x v="7"/>
    <x v="670"/>
    <x v="5"/>
    <s v="Laptop"/>
    <x v="1"/>
    <s v="Yes"/>
    <x v="1"/>
  </r>
  <r>
    <x v="744"/>
    <x v="0"/>
    <x v="1"/>
    <x v="1"/>
    <x v="0"/>
    <x v="2"/>
    <x v="12"/>
    <x v="6"/>
    <x v="40"/>
    <x v="6"/>
    <s v="Tablet"/>
    <x v="0"/>
    <s v="Yes"/>
    <x v="0"/>
  </r>
  <r>
    <x v="745"/>
    <x v="22"/>
    <x v="2"/>
    <x v="0"/>
    <x v="1"/>
    <x v="4"/>
    <x v="18"/>
    <x v="3"/>
    <x v="671"/>
    <x v="0"/>
    <s v="Mobile"/>
    <x v="0"/>
    <s v="No"/>
    <x v="2"/>
  </r>
  <r>
    <x v="746"/>
    <x v="13"/>
    <x v="2"/>
    <x v="0"/>
    <x v="1"/>
    <x v="3"/>
    <x v="13"/>
    <x v="3"/>
    <x v="672"/>
    <x v="6"/>
    <s v="TV"/>
    <x v="0"/>
    <s v="No"/>
    <x v="3"/>
  </r>
  <r>
    <x v="747"/>
    <x v="18"/>
    <x v="2"/>
    <x v="2"/>
    <x v="2"/>
    <x v="3"/>
    <x v="6"/>
    <x v="3"/>
    <x v="23"/>
    <x v="7"/>
    <s v="TV"/>
    <x v="0"/>
    <s v="Yes"/>
    <x v="1"/>
  </r>
  <r>
    <x v="748"/>
    <x v="6"/>
    <x v="1"/>
    <x v="2"/>
    <x v="1"/>
    <x v="1"/>
    <x v="17"/>
    <x v="1"/>
    <x v="36"/>
    <x v="7"/>
    <s v="Laptop"/>
    <x v="1"/>
    <s v="Yes"/>
    <x v="3"/>
  </r>
  <r>
    <x v="749"/>
    <x v="1"/>
    <x v="0"/>
    <x v="2"/>
    <x v="0"/>
    <x v="1"/>
    <x v="23"/>
    <x v="2"/>
    <x v="655"/>
    <x v="0"/>
    <s v="Laptop"/>
    <x v="0"/>
    <s v="Yes"/>
    <x v="3"/>
  </r>
  <r>
    <x v="750"/>
    <x v="15"/>
    <x v="2"/>
    <x v="0"/>
    <x v="1"/>
    <x v="1"/>
    <x v="4"/>
    <x v="3"/>
    <x v="138"/>
    <x v="5"/>
    <s v="Laptop"/>
    <x v="0"/>
    <s v="No"/>
    <x v="4"/>
  </r>
  <r>
    <x v="751"/>
    <x v="16"/>
    <x v="2"/>
    <x v="1"/>
    <x v="0"/>
    <x v="2"/>
    <x v="21"/>
    <x v="1"/>
    <x v="673"/>
    <x v="5"/>
    <s v="Laptop"/>
    <x v="1"/>
    <s v="No"/>
    <x v="3"/>
  </r>
  <r>
    <x v="752"/>
    <x v="20"/>
    <x v="0"/>
    <x v="1"/>
    <x v="0"/>
    <x v="4"/>
    <x v="10"/>
    <x v="1"/>
    <x v="674"/>
    <x v="0"/>
    <s v="TV"/>
    <x v="0"/>
    <s v="Yes"/>
    <x v="4"/>
  </r>
  <r>
    <x v="753"/>
    <x v="5"/>
    <x v="2"/>
    <x v="1"/>
    <x v="2"/>
    <x v="5"/>
    <x v="16"/>
    <x v="4"/>
    <x v="675"/>
    <x v="0"/>
    <s v="TV"/>
    <x v="0"/>
    <s v="No"/>
    <x v="0"/>
  </r>
  <r>
    <x v="754"/>
    <x v="11"/>
    <x v="0"/>
    <x v="2"/>
    <x v="1"/>
    <x v="0"/>
    <x v="8"/>
    <x v="7"/>
    <x v="676"/>
    <x v="6"/>
    <s v="Tablet"/>
    <x v="1"/>
    <s v="No"/>
    <x v="2"/>
  </r>
  <r>
    <x v="755"/>
    <x v="3"/>
    <x v="1"/>
    <x v="2"/>
    <x v="0"/>
    <x v="4"/>
    <x v="16"/>
    <x v="6"/>
    <x v="677"/>
    <x v="0"/>
    <s v="Tablet"/>
    <x v="0"/>
    <s v="Yes"/>
    <x v="0"/>
  </r>
  <r>
    <x v="756"/>
    <x v="20"/>
    <x v="1"/>
    <x v="2"/>
    <x v="2"/>
    <x v="0"/>
    <x v="19"/>
    <x v="7"/>
    <x v="678"/>
    <x v="3"/>
    <s v="Tablet"/>
    <x v="1"/>
    <s v="Yes"/>
    <x v="0"/>
  </r>
  <r>
    <x v="757"/>
    <x v="22"/>
    <x v="1"/>
    <x v="2"/>
    <x v="1"/>
    <x v="3"/>
    <x v="23"/>
    <x v="2"/>
    <x v="679"/>
    <x v="2"/>
    <s v="Tablet"/>
    <x v="0"/>
    <s v="No"/>
    <x v="0"/>
  </r>
  <r>
    <x v="758"/>
    <x v="22"/>
    <x v="0"/>
    <x v="0"/>
    <x v="0"/>
    <x v="0"/>
    <x v="3"/>
    <x v="1"/>
    <x v="680"/>
    <x v="5"/>
    <s v="Mobile"/>
    <x v="0"/>
    <s v="No"/>
    <x v="3"/>
  </r>
  <r>
    <x v="759"/>
    <x v="2"/>
    <x v="1"/>
    <x v="2"/>
    <x v="1"/>
    <x v="4"/>
    <x v="20"/>
    <x v="5"/>
    <x v="661"/>
    <x v="5"/>
    <s v="Mobile"/>
    <x v="0"/>
    <s v="No"/>
    <x v="0"/>
  </r>
  <r>
    <x v="760"/>
    <x v="14"/>
    <x v="1"/>
    <x v="1"/>
    <x v="0"/>
    <x v="1"/>
    <x v="19"/>
    <x v="4"/>
    <x v="5"/>
    <x v="3"/>
    <s v="Mobile"/>
    <x v="0"/>
    <s v="No"/>
    <x v="4"/>
  </r>
  <r>
    <x v="761"/>
    <x v="15"/>
    <x v="1"/>
    <x v="1"/>
    <x v="0"/>
    <x v="1"/>
    <x v="20"/>
    <x v="7"/>
    <x v="681"/>
    <x v="4"/>
    <s v="Laptop"/>
    <x v="0"/>
    <s v="No"/>
    <x v="0"/>
  </r>
  <r>
    <x v="762"/>
    <x v="2"/>
    <x v="1"/>
    <x v="0"/>
    <x v="0"/>
    <x v="1"/>
    <x v="10"/>
    <x v="6"/>
    <x v="682"/>
    <x v="4"/>
    <s v="Laptop"/>
    <x v="1"/>
    <s v="No"/>
    <x v="4"/>
  </r>
  <r>
    <x v="763"/>
    <x v="12"/>
    <x v="1"/>
    <x v="0"/>
    <x v="0"/>
    <x v="2"/>
    <x v="6"/>
    <x v="0"/>
    <x v="469"/>
    <x v="5"/>
    <s v="Mobile"/>
    <x v="1"/>
    <s v="Yes"/>
    <x v="2"/>
  </r>
  <r>
    <x v="764"/>
    <x v="18"/>
    <x v="2"/>
    <x v="1"/>
    <x v="1"/>
    <x v="3"/>
    <x v="18"/>
    <x v="6"/>
    <x v="683"/>
    <x v="3"/>
    <s v="TV"/>
    <x v="0"/>
    <s v="Yes"/>
    <x v="3"/>
  </r>
  <r>
    <x v="765"/>
    <x v="7"/>
    <x v="2"/>
    <x v="2"/>
    <x v="1"/>
    <x v="2"/>
    <x v="1"/>
    <x v="4"/>
    <x v="684"/>
    <x v="6"/>
    <s v="TV"/>
    <x v="1"/>
    <s v="No"/>
    <x v="2"/>
  </r>
  <r>
    <x v="766"/>
    <x v="3"/>
    <x v="0"/>
    <x v="1"/>
    <x v="1"/>
    <x v="4"/>
    <x v="22"/>
    <x v="1"/>
    <x v="372"/>
    <x v="3"/>
    <s v="TV"/>
    <x v="1"/>
    <s v="Yes"/>
    <x v="0"/>
  </r>
  <r>
    <x v="767"/>
    <x v="21"/>
    <x v="1"/>
    <x v="0"/>
    <x v="0"/>
    <x v="5"/>
    <x v="24"/>
    <x v="0"/>
    <x v="120"/>
    <x v="2"/>
    <s v="Laptop"/>
    <x v="1"/>
    <s v="No"/>
    <x v="4"/>
  </r>
  <r>
    <x v="768"/>
    <x v="9"/>
    <x v="1"/>
    <x v="1"/>
    <x v="1"/>
    <x v="1"/>
    <x v="22"/>
    <x v="6"/>
    <x v="652"/>
    <x v="7"/>
    <s v="Mobile"/>
    <x v="1"/>
    <s v="Yes"/>
    <x v="4"/>
  </r>
  <r>
    <x v="769"/>
    <x v="18"/>
    <x v="1"/>
    <x v="1"/>
    <x v="2"/>
    <x v="0"/>
    <x v="22"/>
    <x v="0"/>
    <x v="685"/>
    <x v="7"/>
    <s v="Tablet"/>
    <x v="1"/>
    <s v="Yes"/>
    <x v="3"/>
  </r>
  <r>
    <x v="770"/>
    <x v="17"/>
    <x v="1"/>
    <x v="0"/>
    <x v="1"/>
    <x v="5"/>
    <x v="13"/>
    <x v="6"/>
    <x v="686"/>
    <x v="4"/>
    <s v="Tablet"/>
    <x v="0"/>
    <s v="No"/>
    <x v="3"/>
  </r>
  <r>
    <x v="771"/>
    <x v="8"/>
    <x v="2"/>
    <x v="0"/>
    <x v="2"/>
    <x v="0"/>
    <x v="7"/>
    <x v="3"/>
    <x v="687"/>
    <x v="1"/>
    <s v="Laptop"/>
    <x v="0"/>
    <s v="Yes"/>
    <x v="3"/>
  </r>
  <r>
    <x v="772"/>
    <x v="7"/>
    <x v="0"/>
    <x v="1"/>
    <x v="2"/>
    <x v="2"/>
    <x v="20"/>
    <x v="3"/>
    <x v="688"/>
    <x v="2"/>
    <s v="Tablet"/>
    <x v="0"/>
    <s v="Yes"/>
    <x v="2"/>
  </r>
  <r>
    <x v="773"/>
    <x v="6"/>
    <x v="0"/>
    <x v="2"/>
    <x v="2"/>
    <x v="1"/>
    <x v="6"/>
    <x v="0"/>
    <x v="689"/>
    <x v="7"/>
    <s v="Tablet"/>
    <x v="1"/>
    <s v="No"/>
    <x v="4"/>
  </r>
  <r>
    <x v="774"/>
    <x v="22"/>
    <x v="2"/>
    <x v="0"/>
    <x v="0"/>
    <x v="3"/>
    <x v="14"/>
    <x v="7"/>
    <x v="690"/>
    <x v="1"/>
    <s v="Mobile"/>
    <x v="1"/>
    <s v="Yes"/>
    <x v="2"/>
  </r>
  <r>
    <x v="775"/>
    <x v="18"/>
    <x v="2"/>
    <x v="0"/>
    <x v="1"/>
    <x v="5"/>
    <x v="16"/>
    <x v="3"/>
    <x v="691"/>
    <x v="5"/>
    <s v="Tablet"/>
    <x v="1"/>
    <s v="No"/>
    <x v="2"/>
  </r>
  <r>
    <x v="776"/>
    <x v="8"/>
    <x v="1"/>
    <x v="2"/>
    <x v="1"/>
    <x v="1"/>
    <x v="15"/>
    <x v="0"/>
    <x v="692"/>
    <x v="5"/>
    <s v="Mobile"/>
    <x v="1"/>
    <s v="No"/>
    <x v="1"/>
  </r>
  <r>
    <x v="777"/>
    <x v="14"/>
    <x v="1"/>
    <x v="1"/>
    <x v="0"/>
    <x v="5"/>
    <x v="13"/>
    <x v="5"/>
    <x v="642"/>
    <x v="4"/>
    <s v="Mobile"/>
    <x v="1"/>
    <s v="No"/>
    <x v="4"/>
  </r>
  <r>
    <x v="778"/>
    <x v="15"/>
    <x v="1"/>
    <x v="2"/>
    <x v="2"/>
    <x v="0"/>
    <x v="2"/>
    <x v="3"/>
    <x v="693"/>
    <x v="6"/>
    <s v="TV"/>
    <x v="1"/>
    <s v="Yes"/>
    <x v="0"/>
  </r>
  <r>
    <x v="779"/>
    <x v="18"/>
    <x v="1"/>
    <x v="0"/>
    <x v="1"/>
    <x v="0"/>
    <x v="8"/>
    <x v="6"/>
    <x v="694"/>
    <x v="4"/>
    <s v="Tablet"/>
    <x v="1"/>
    <s v="No"/>
    <x v="3"/>
  </r>
  <r>
    <x v="780"/>
    <x v="8"/>
    <x v="2"/>
    <x v="1"/>
    <x v="2"/>
    <x v="0"/>
    <x v="25"/>
    <x v="4"/>
    <x v="695"/>
    <x v="7"/>
    <s v="Tablet"/>
    <x v="1"/>
    <s v="Yes"/>
    <x v="1"/>
  </r>
  <r>
    <x v="781"/>
    <x v="15"/>
    <x v="1"/>
    <x v="0"/>
    <x v="1"/>
    <x v="5"/>
    <x v="9"/>
    <x v="1"/>
    <x v="696"/>
    <x v="0"/>
    <s v="Laptop"/>
    <x v="1"/>
    <s v="Yes"/>
    <x v="0"/>
  </r>
  <r>
    <x v="782"/>
    <x v="4"/>
    <x v="1"/>
    <x v="0"/>
    <x v="2"/>
    <x v="0"/>
    <x v="13"/>
    <x v="4"/>
    <x v="134"/>
    <x v="2"/>
    <s v="Laptop"/>
    <x v="0"/>
    <s v="Yes"/>
    <x v="3"/>
  </r>
  <r>
    <x v="783"/>
    <x v="11"/>
    <x v="2"/>
    <x v="2"/>
    <x v="1"/>
    <x v="3"/>
    <x v="9"/>
    <x v="2"/>
    <x v="697"/>
    <x v="5"/>
    <s v="Tablet"/>
    <x v="0"/>
    <s v="Yes"/>
    <x v="2"/>
  </r>
  <r>
    <x v="784"/>
    <x v="7"/>
    <x v="0"/>
    <x v="0"/>
    <x v="1"/>
    <x v="0"/>
    <x v="5"/>
    <x v="7"/>
    <x v="698"/>
    <x v="5"/>
    <s v="Laptop"/>
    <x v="1"/>
    <s v="Yes"/>
    <x v="3"/>
  </r>
  <r>
    <x v="785"/>
    <x v="19"/>
    <x v="2"/>
    <x v="1"/>
    <x v="1"/>
    <x v="5"/>
    <x v="0"/>
    <x v="2"/>
    <x v="699"/>
    <x v="5"/>
    <s v="Mobile"/>
    <x v="1"/>
    <s v="No"/>
    <x v="4"/>
  </r>
  <r>
    <x v="786"/>
    <x v="5"/>
    <x v="2"/>
    <x v="0"/>
    <x v="0"/>
    <x v="3"/>
    <x v="6"/>
    <x v="0"/>
    <x v="700"/>
    <x v="0"/>
    <s v="Tablet"/>
    <x v="0"/>
    <s v="Yes"/>
    <x v="4"/>
  </r>
  <r>
    <x v="787"/>
    <x v="10"/>
    <x v="2"/>
    <x v="2"/>
    <x v="1"/>
    <x v="3"/>
    <x v="21"/>
    <x v="2"/>
    <x v="337"/>
    <x v="5"/>
    <s v="Tablet"/>
    <x v="1"/>
    <s v="No"/>
    <x v="4"/>
  </r>
  <r>
    <x v="788"/>
    <x v="10"/>
    <x v="0"/>
    <x v="2"/>
    <x v="1"/>
    <x v="1"/>
    <x v="8"/>
    <x v="1"/>
    <x v="701"/>
    <x v="3"/>
    <s v="Tablet"/>
    <x v="1"/>
    <s v="Yes"/>
    <x v="0"/>
  </r>
  <r>
    <x v="789"/>
    <x v="15"/>
    <x v="0"/>
    <x v="2"/>
    <x v="0"/>
    <x v="1"/>
    <x v="21"/>
    <x v="2"/>
    <x v="702"/>
    <x v="3"/>
    <s v="Tablet"/>
    <x v="1"/>
    <s v="Yes"/>
    <x v="2"/>
  </r>
  <r>
    <x v="790"/>
    <x v="19"/>
    <x v="1"/>
    <x v="0"/>
    <x v="0"/>
    <x v="5"/>
    <x v="8"/>
    <x v="5"/>
    <x v="703"/>
    <x v="3"/>
    <s v="Mobile"/>
    <x v="0"/>
    <s v="No"/>
    <x v="3"/>
  </r>
  <r>
    <x v="791"/>
    <x v="3"/>
    <x v="1"/>
    <x v="0"/>
    <x v="0"/>
    <x v="2"/>
    <x v="7"/>
    <x v="6"/>
    <x v="704"/>
    <x v="2"/>
    <s v="Tablet"/>
    <x v="0"/>
    <s v="No"/>
    <x v="4"/>
  </r>
  <r>
    <x v="792"/>
    <x v="4"/>
    <x v="1"/>
    <x v="2"/>
    <x v="1"/>
    <x v="1"/>
    <x v="11"/>
    <x v="0"/>
    <x v="705"/>
    <x v="3"/>
    <s v="Laptop"/>
    <x v="0"/>
    <s v="Yes"/>
    <x v="0"/>
  </r>
  <r>
    <x v="793"/>
    <x v="14"/>
    <x v="1"/>
    <x v="2"/>
    <x v="0"/>
    <x v="5"/>
    <x v="13"/>
    <x v="7"/>
    <x v="706"/>
    <x v="2"/>
    <s v="Laptop"/>
    <x v="1"/>
    <s v="Yes"/>
    <x v="3"/>
  </r>
  <r>
    <x v="794"/>
    <x v="6"/>
    <x v="1"/>
    <x v="0"/>
    <x v="2"/>
    <x v="4"/>
    <x v="19"/>
    <x v="0"/>
    <x v="707"/>
    <x v="2"/>
    <s v="Tablet"/>
    <x v="0"/>
    <s v="Yes"/>
    <x v="4"/>
  </r>
  <r>
    <x v="795"/>
    <x v="1"/>
    <x v="1"/>
    <x v="1"/>
    <x v="1"/>
    <x v="0"/>
    <x v="6"/>
    <x v="2"/>
    <x v="708"/>
    <x v="5"/>
    <s v="Laptop"/>
    <x v="1"/>
    <s v="No"/>
    <x v="3"/>
  </r>
  <r>
    <x v="796"/>
    <x v="17"/>
    <x v="0"/>
    <x v="1"/>
    <x v="0"/>
    <x v="5"/>
    <x v="18"/>
    <x v="0"/>
    <x v="709"/>
    <x v="5"/>
    <s v="Mobile"/>
    <x v="1"/>
    <s v="Yes"/>
    <x v="3"/>
  </r>
  <r>
    <x v="797"/>
    <x v="3"/>
    <x v="0"/>
    <x v="1"/>
    <x v="0"/>
    <x v="3"/>
    <x v="11"/>
    <x v="1"/>
    <x v="105"/>
    <x v="1"/>
    <s v="Tablet"/>
    <x v="0"/>
    <s v="Yes"/>
    <x v="3"/>
  </r>
  <r>
    <x v="798"/>
    <x v="2"/>
    <x v="1"/>
    <x v="1"/>
    <x v="0"/>
    <x v="5"/>
    <x v="10"/>
    <x v="7"/>
    <x v="601"/>
    <x v="2"/>
    <s v="TV"/>
    <x v="0"/>
    <s v="Yes"/>
    <x v="0"/>
  </r>
  <r>
    <x v="799"/>
    <x v="2"/>
    <x v="2"/>
    <x v="2"/>
    <x v="1"/>
    <x v="5"/>
    <x v="11"/>
    <x v="1"/>
    <x v="710"/>
    <x v="6"/>
    <s v="Laptop"/>
    <x v="1"/>
    <s v="Yes"/>
    <x v="3"/>
  </r>
  <r>
    <x v="800"/>
    <x v="8"/>
    <x v="1"/>
    <x v="0"/>
    <x v="0"/>
    <x v="4"/>
    <x v="10"/>
    <x v="5"/>
    <x v="263"/>
    <x v="3"/>
    <s v="TV"/>
    <x v="0"/>
    <s v="No"/>
    <x v="3"/>
  </r>
  <r>
    <x v="801"/>
    <x v="4"/>
    <x v="2"/>
    <x v="1"/>
    <x v="1"/>
    <x v="2"/>
    <x v="24"/>
    <x v="5"/>
    <x v="222"/>
    <x v="5"/>
    <s v="Laptop"/>
    <x v="1"/>
    <s v="Yes"/>
    <x v="4"/>
  </r>
  <r>
    <x v="802"/>
    <x v="16"/>
    <x v="1"/>
    <x v="0"/>
    <x v="0"/>
    <x v="0"/>
    <x v="20"/>
    <x v="3"/>
    <x v="711"/>
    <x v="0"/>
    <s v="Laptop"/>
    <x v="0"/>
    <s v="Yes"/>
    <x v="2"/>
  </r>
  <r>
    <x v="803"/>
    <x v="16"/>
    <x v="2"/>
    <x v="2"/>
    <x v="1"/>
    <x v="0"/>
    <x v="7"/>
    <x v="2"/>
    <x v="712"/>
    <x v="6"/>
    <s v="Tablet"/>
    <x v="0"/>
    <s v="No"/>
    <x v="2"/>
  </r>
  <r>
    <x v="804"/>
    <x v="21"/>
    <x v="1"/>
    <x v="1"/>
    <x v="1"/>
    <x v="5"/>
    <x v="3"/>
    <x v="7"/>
    <x v="276"/>
    <x v="1"/>
    <s v="Mobile"/>
    <x v="1"/>
    <s v="Yes"/>
    <x v="2"/>
  </r>
  <r>
    <x v="805"/>
    <x v="8"/>
    <x v="0"/>
    <x v="0"/>
    <x v="2"/>
    <x v="1"/>
    <x v="12"/>
    <x v="7"/>
    <x v="713"/>
    <x v="3"/>
    <s v="Tablet"/>
    <x v="1"/>
    <s v="No"/>
    <x v="3"/>
  </r>
  <r>
    <x v="806"/>
    <x v="2"/>
    <x v="1"/>
    <x v="0"/>
    <x v="1"/>
    <x v="3"/>
    <x v="5"/>
    <x v="5"/>
    <x v="714"/>
    <x v="2"/>
    <s v="Tablet"/>
    <x v="1"/>
    <s v="No"/>
    <x v="0"/>
  </r>
  <r>
    <x v="807"/>
    <x v="11"/>
    <x v="2"/>
    <x v="0"/>
    <x v="2"/>
    <x v="0"/>
    <x v="18"/>
    <x v="6"/>
    <x v="715"/>
    <x v="6"/>
    <s v="Tablet"/>
    <x v="0"/>
    <s v="No"/>
    <x v="1"/>
  </r>
  <r>
    <x v="808"/>
    <x v="21"/>
    <x v="2"/>
    <x v="1"/>
    <x v="0"/>
    <x v="3"/>
    <x v="3"/>
    <x v="7"/>
    <x v="716"/>
    <x v="4"/>
    <s v="Tablet"/>
    <x v="1"/>
    <s v="Yes"/>
    <x v="0"/>
  </r>
  <r>
    <x v="809"/>
    <x v="7"/>
    <x v="0"/>
    <x v="2"/>
    <x v="1"/>
    <x v="1"/>
    <x v="20"/>
    <x v="1"/>
    <x v="717"/>
    <x v="0"/>
    <s v="Tablet"/>
    <x v="0"/>
    <s v="Yes"/>
    <x v="3"/>
  </r>
  <r>
    <x v="810"/>
    <x v="8"/>
    <x v="2"/>
    <x v="1"/>
    <x v="2"/>
    <x v="2"/>
    <x v="19"/>
    <x v="1"/>
    <x v="718"/>
    <x v="4"/>
    <s v="TV"/>
    <x v="0"/>
    <s v="No"/>
    <x v="4"/>
  </r>
  <r>
    <x v="811"/>
    <x v="8"/>
    <x v="2"/>
    <x v="2"/>
    <x v="2"/>
    <x v="3"/>
    <x v="24"/>
    <x v="7"/>
    <x v="719"/>
    <x v="1"/>
    <s v="Mobile"/>
    <x v="0"/>
    <s v="No"/>
    <x v="3"/>
  </r>
  <r>
    <x v="812"/>
    <x v="19"/>
    <x v="1"/>
    <x v="1"/>
    <x v="0"/>
    <x v="1"/>
    <x v="8"/>
    <x v="3"/>
    <x v="720"/>
    <x v="6"/>
    <s v="TV"/>
    <x v="0"/>
    <s v="No"/>
    <x v="4"/>
  </r>
  <r>
    <x v="813"/>
    <x v="13"/>
    <x v="2"/>
    <x v="1"/>
    <x v="1"/>
    <x v="0"/>
    <x v="7"/>
    <x v="1"/>
    <x v="71"/>
    <x v="4"/>
    <s v="Mobile"/>
    <x v="0"/>
    <s v="Yes"/>
    <x v="3"/>
  </r>
  <r>
    <x v="814"/>
    <x v="14"/>
    <x v="0"/>
    <x v="2"/>
    <x v="0"/>
    <x v="3"/>
    <x v="8"/>
    <x v="7"/>
    <x v="721"/>
    <x v="5"/>
    <s v="Mobile"/>
    <x v="1"/>
    <s v="No"/>
    <x v="1"/>
  </r>
  <r>
    <x v="815"/>
    <x v="16"/>
    <x v="2"/>
    <x v="0"/>
    <x v="1"/>
    <x v="1"/>
    <x v="13"/>
    <x v="2"/>
    <x v="722"/>
    <x v="1"/>
    <s v="TV"/>
    <x v="0"/>
    <s v="No"/>
    <x v="2"/>
  </r>
  <r>
    <x v="816"/>
    <x v="4"/>
    <x v="0"/>
    <x v="1"/>
    <x v="1"/>
    <x v="3"/>
    <x v="14"/>
    <x v="2"/>
    <x v="515"/>
    <x v="1"/>
    <s v="Laptop"/>
    <x v="0"/>
    <s v="Yes"/>
    <x v="4"/>
  </r>
  <r>
    <x v="817"/>
    <x v="14"/>
    <x v="0"/>
    <x v="0"/>
    <x v="2"/>
    <x v="3"/>
    <x v="16"/>
    <x v="3"/>
    <x v="723"/>
    <x v="0"/>
    <s v="Mobile"/>
    <x v="1"/>
    <s v="No"/>
    <x v="0"/>
  </r>
  <r>
    <x v="818"/>
    <x v="15"/>
    <x v="0"/>
    <x v="1"/>
    <x v="2"/>
    <x v="4"/>
    <x v="13"/>
    <x v="6"/>
    <x v="724"/>
    <x v="5"/>
    <s v="Mobile"/>
    <x v="1"/>
    <s v="Yes"/>
    <x v="3"/>
  </r>
  <r>
    <x v="819"/>
    <x v="5"/>
    <x v="1"/>
    <x v="1"/>
    <x v="0"/>
    <x v="2"/>
    <x v="5"/>
    <x v="6"/>
    <x v="725"/>
    <x v="4"/>
    <s v="Mobile"/>
    <x v="0"/>
    <s v="Yes"/>
    <x v="0"/>
  </r>
  <r>
    <x v="820"/>
    <x v="8"/>
    <x v="2"/>
    <x v="1"/>
    <x v="2"/>
    <x v="5"/>
    <x v="9"/>
    <x v="0"/>
    <x v="628"/>
    <x v="5"/>
    <s v="Laptop"/>
    <x v="1"/>
    <s v="No"/>
    <x v="3"/>
  </r>
  <r>
    <x v="821"/>
    <x v="3"/>
    <x v="0"/>
    <x v="2"/>
    <x v="0"/>
    <x v="0"/>
    <x v="11"/>
    <x v="2"/>
    <x v="726"/>
    <x v="7"/>
    <s v="TV"/>
    <x v="1"/>
    <s v="No"/>
    <x v="2"/>
  </r>
  <r>
    <x v="822"/>
    <x v="22"/>
    <x v="1"/>
    <x v="1"/>
    <x v="0"/>
    <x v="3"/>
    <x v="6"/>
    <x v="2"/>
    <x v="727"/>
    <x v="0"/>
    <s v="Mobile"/>
    <x v="0"/>
    <s v="Yes"/>
    <x v="3"/>
  </r>
  <r>
    <x v="823"/>
    <x v="4"/>
    <x v="1"/>
    <x v="2"/>
    <x v="2"/>
    <x v="2"/>
    <x v="24"/>
    <x v="4"/>
    <x v="728"/>
    <x v="1"/>
    <s v="Laptop"/>
    <x v="0"/>
    <s v="Yes"/>
    <x v="2"/>
  </r>
  <r>
    <x v="824"/>
    <x v="11"/>
    <x v="1"/>
    <x v="1"/>
    <x v="2"/>
    <x v="4"/>
    <x v="20"/>
    <x v="0"/>
    <x v="19"/>
    <x v="5"/>
    <s v="Mobile"/>
    <x v="1"/>
    <s v="No"/>
    <x v="0"/>
  </r>
  <r>
    <x v="825"/>
    <x v="15"/>
    <x v="1"/>
    <x v="1"/>
    <x v="1"/>
    <x v="1"/>
    <x v="10"/>
    <x v="5"/>
    <x v="729"/>
    <x v="3"/>
    <s v="Mobile"/>
    <x v="0"/>
    <s v="No"/>
    <x v="3"/>
  </r>
  <r>
    <x v="826"/>
    <x v="13"/>
    <x v="0"/>
    <x v="0"/>
    <x v="2"/>
    <x v="5"/>
    <x v="22"/>
    <x v="1"/>
    <x v="229"/>
    <x v="5"/>
    <s v="Tablet"/>
    <x v="1"/>
    <s v="Yes"/>
    <x v="1"/>
  </r>
  <r>
    <x v="827"/>
    <x v="2"/>
    <x v="0"/>
    <x v="2"/>
    <x v="1"/>
    <x v="3"/>
    <x v="18"/>
    <x v="4"/>
    <x v="730"/>
    <x v="2"/>
    <s v="TV"/>
    <x v="0"/>
    <s v="No"/>
    <x v="1"/>
  </r>
  <r>
    <x v="828"/>
    <x v="4"/>
    <x v="0"/>
    <x v="0"/>
    <x v="0"/>
    <x v="5"/>
    <x v="19"/>
    <x v="3"/>
    <x v="731"/>
    <x v="2"/>
    <s v="Mobile"/>
    <x v="0"/>
    <s v="No"/>
    <x v="2"/>
  </r>
  <r>
    <x v="829"/>
    <x v="14"/>
    <x v="0"/>
    <x v="2"/>
    <x v="0"/>
    <x v="3"/>
    <x v="19"/>
    <x v="7"/>
    <x v="73"/>
    <x v="7"/>
    <s v="TV"/>
    <x v="0"/>
    <s v="No"/>
    <x v="3"/>
  </r>
  <r>
    <x v="830"/>
    <x v="14"/>
    <x v="2"/>
    <x v="0"/>
    <x v="1"/>
    <x v="3"/>
    <x v="20"/>
    <x v="7"/>
    <x v="732"/>
    <x v="1"/>
    <s v="TV"/>
    <x v="0"/>
    <s v="No"/>
    <x v="0"/>
  </r>
  <r>
    <x v="831"/>
    <x v="21"/>
    <x v="0"/>
    <x v="2"/>
    <x v="1"/>
    <x v="0"/>
    <x v="7"/>
    <x v="1"/>
    <x v="558"/>
    <x v="2"/>
    <s v="Laptop"/>
    <x v="1"/>
    <s v="Yes"/>
    <x v="1"/>
  </r>
  <r>
    <x v="832"/>
    <x v="18"/>
    <x v="1"/>
    <x v="1"/>
    <x v="0"/>
    <x v="4"/>
    <x v="19"/>
    <x v="3"/>
    <x v="733"/>
    <x v="5"/>
    <s v="TV"/>
    <x v="0"/>
    <s v="No"/>
    <x v="1"/>
  </r>
  <r>
    <x v="833"/>
    <x v="1"/>
    <x v="0"/>
    <x v="0"/>
    <x v="0"/>
    <x v="5"/>
    <x v="23"/>
    <x v="4"/>
    <x v="734"/>
    <x v="4"/>
    <s v="TV"/>
    <x v="0"/>
    <s v="No"/>
    <x v="4"/>
  </r>
  <r>
    <x v="834"/>
    <x v="2"/>
    <x v="0"/>
    <x v="0"/>
    <x v="0"/>
    <x v="3"/>
    <x v="25"/>
    <x v="1"/>
    <x v="735"/>
    <x v="1"/>
    <s v="Tablet"/>
    <x v="1"/>
    <s v="Yes"/>
    <x v="1"/>
  </r>
  <r>
    <x v="835"/>
    <x v="15"/>
    <x v="1"/>
    <x v="0"/>
    <x v="2"/>
    <x v="4"/>
    <x v="8"/>
    <x v="6"/>
    <x v="310"/>
    <x v="0"/>
    <s v="Mobile"/>
    <x v="0"/>
    <s v="Yes"/>
    <x v="2"/>
  </r>
  <r>
    <x v="836"/>
    <x v="22"/>
    <x v="0"/>
    <x v="2"/>
    <x v="1"/>
    <x v="3"/>
    <x v="12"/>
    <x v="6"/>
    <x v="736"/>
    <x v="0"/>
    <s v="TV"/>
    <x v="0"/>
    <s v="Yes"/>
    <x v="0"/>
  </r>
  <r>
    <x v="837"/>
    <x v="14"/>
    <x v="0"/>
    <x v="1"/>
    <x v="2"/>
    <x v="4"/>
    <x v="23"/>
    <x v="2"/>
    <x v="737"/>
    <x v="1"/>
    <s v="Mobile"/>
    <x v="1"/>
    <s v="Yes"/>
    <x v="4"/>
  </r>
  <r>
    <x v="838"/>
    <x v="21"/>
    <x v="2"/>
    <x v="0"/>
    <x v="1"/>
    <x v="4"/>
    <x v="17"/>
    <x v="2"/>
    <x v="738"/>
    <x v="3"/>
    <s v="Laptop"/>
    <x v="0"/>
    <s v="Yes"/>
    <x v="1"/>
  </r>
  <r>
    <x v="839"/>
    <x v="20"/>
    <x v="1"/>
    <x v="1"/>
    <x v="0"/>
    <x v="0"/>
    <x v="16"/>
    <x v="1"/>
    <x v="739"/>
    <x v="0"/>
    <s v="Tablet"/>
    <x v="0"/>
    <s v="Yes"/>
    <x v="0"/>
  </r>
  <r>
    <x v="840"/>
    <x v="22"/>
    <x v="0"/>
    <x v="2"/>
    <x v="2"/>
    <x v="3"/>
    <x v="0"/>
    <x v="7"/>
    <x v="740"/>
    <x v="0"/>
    <s v="Mobile"/>
    <x v="0"/>
    <s v="Yes"/>
    <x v="0"/>
  </r>
  <r>
    <x v="841"/>
    <x v="20"/>
    <x v="0"/>
    <x v="2"/>
    <x v="2"/>
    <x v="1"/>
    <x v="10"/>
    <x v="5"/>
    <x v="741"/>
    <x v="2"/>
    <s v="TV"/>
    <x v="0"/>
    <s v="No"/>
    <x v="1"/>
  </r>
  <r>
    <x v="842"/>
    <x v="13"/>
    <x v="1"/>
    <x v="0"/>
    <x v="0"/>
    <x v="1"/>
    <x v="22"/>
    <x v="2"/>
    <x v="742"/>
    <x v="7"/>
    <s v="Laptop"/>
    <x v="1"/>
    <s v="No"/>
    <x v="0"/>
  </r>
  <r>
    <x v="843"/>
    <x v="13"/>
    <x v="2"/>
    <x v="2"/>
    <x v="2"/>
    <x v="1"/>
    <x v="4"/>
    <x v="0"/>
    <x v="714"/>
    <x v="7"/>
    <s v="Laptop"/>
    <x v="0"/>
    <s v="No"/>
    <x v="1"/>
  </r>
  <r>
    <x v="844"/>
    <x v="3"/>
    <x v="2"/>
    <x v="2"/>
    <x v="2"/>
    <x v="5"/>
    <x v="11"/>
    <x v="7"/>
    <x v="743"/>
    <x v="4"/>
    <s v="Laptop"/>
    <x v="1"/>
    <s v="No"/>
    <x v="4"/>
  </r>
  <r>
    <x v="845"/>
    <x v="6"/>
    <x v="2"/>
    <x v="2"/>
    <x v="1"/>
    <x v="1"/>
    <x v="23"/>
    <x v="1"/>
    <x v="77"/>
    <x v="0"/>
    <s v="Tablet"/>
    <x v="0"/>
    <s v="Yes"/>
    <x v="1"/>
  </r>
  <r>
    <x v="846"/>
    <x v="22"/>
    <x v="0"/>
    <x v="1"/>
    <x v="1"/>
    <x v="4"/>
    <x v="5"/>
    <x v="2"/>
    <x v="744"/>
    <x v="0"/>
    <s v="Mobile"/>
    <x v="1"/>
    <s v="No"/>
    <x v="3"/>
  </r>
  <r>
    <x v="847"/>
    <x v="14"/>
    <x v="1"/>
    <x v="1"/>
    <x v="0"/>
    <x v="1"/>
    <x v="13"/>
    <x v="3"/>
    <x v="716"/>
    <x v="3"/>
    <s v="Laptop"/>
    <x v="0"/>
    <s v="Yes"/>
    <x v="3"/>
  </r>
  <r>
    <x v="848"/>
    <x v="17"/>
    <x v="2"/>
    <x v="0"/>
    <x v="1"/>
    <x v="3"/>
    <x v="9"/>
    <x v="0"/>
    <x v="422"/>
    <x v="6"/>
    <s v="Laptop"/>
    <x v="0"/>
    <s v="Yes"/>
    <x v="4"/>
  </r>
  <r>
    <x v="849"/>
    <x v="3"/>
    <x v="0"/>
    <x v="0"/>
    <x v="1"/>
    <x v="4"/>
    <x v="8"/>
    <x v="2"/>
    <x v="745"/>
    <x v="4"/>
    <s v="Tablet"/>
    <x v="0"/>
    <s v="No"/>
    <x v="3"/>
  </r>
  <r>
    <x v="850"/>
    <x v="13"/>
    <x v="2"/>
    <x v="2"/>
    <x v="1"/>
    <x v="3"/>
    <x v="20"/>
    <x v="5"/>
    <x v="746"/>
    <x v="0"/>
    <s v="Laptop"/>
    <x v="0"/>
    <s v="Yes"/>
    <x v="0"/>
  </r>
  <r>
    <x v="851"/>
    <x v="9"/>
    <x v="0"/>
    <x v="0"/>
    <x v="2"/>
    <x v="4"/>
    <x v="12"/>
    <x v="4"/>
    <x v="629"/>
    <x v="2"/>
    <s v="TV"/>
    <x v="0"/>
    <s v="No"/>
    <x v="1"/>
  </r>
  <r>
    <x v="852"/>
    <x v="2"/>
    <x v="2"/>
    <x v="0"/>
    <x v="1"/>
    <x v="1"/>
    <x v="19"/>
    <x v="1"/>
    <x v="747"/>
    <x v="3"/>
    <s v="Laptop"/>
    <x v="1"/>
    <s v="Yes"/>
    <x v="1"/>
  </r>
  <r>
    <x v="853"/>
    <x v="6"/>
    <x v="2"/>
    <x v="1"/>
    <x v="1"/>
    <x v="0"/>
    <x v="3"/>
    <x v="1"/>
    <x v="748"/>
    <x v="5"/>
    <s v="Laptop"/>
    <x v="0"/>
    <s v="No"/>
    <x v="4"/>
  </r>
  <r>
    <x v="854"/>
    <x v="0"/>
    <x v="0"/>
    <x v="0"/>
    <x v="0"/>
    <x v="2"/>
    <x v="20"/>
    <x v="7"/>
    <x v="749"/>
    <x v="3"/>
    <s v="Laptop"/>
    <x v="1"/>
    <s v="Yes"/>
    <x v="0"/>
  </r>
  <r>
    <x v="855"/>
    <x v="6"/>
    <x v="1"/>
    <x v="0"/>
    <x v="2"/>
    <x v="1"/>
    <x v="0"/>
    <x v="3"/>
    <x v="750"/>
    <x v="3"/>
    <s v="Laptop"/>
    <x v="1"/>
    <s v="Yes"/>
    <x v="3"/>
  </r>
  <r>
    <x v="856"/>
    <x v="10"/>
    <x v="2"/>
    <x v="0"/>
    <x v="0"/>
    <x v="2"/>
    <x v="21"/>
    <x v="0"/>
    <x v="751"/>
    <x v="2"/>
    <s v="Mobile"/>
    <x v="1"/>
    <s v="No"/>
    <x v="1"/>
  </r>
  <r>
    <x v="857"/>
    <x v="17"/>
    <x v="2"/>
    <x v="2"/>
    <x v="2"/>
    <x v="1"/>
    <x v="10"/>
    <x v="0"/>
    <x v="752"/>
    <x v="7"/>
    <s v="Tablet"/>
    <x v="0"/>
    <s v="Yes"/>
    <x v="0"/>
  </r>
  <r>
    <x v="858"/>
    <x v="21"/>
    <x v="1"/>
    <x v="0"/>
    <x v="2"/>
    <x v="1"/>
    <x v="21"/>
    <x v="2"/>
    <x v="753"/>
    <x v="6"/>
    <s v="Mobile"/>
    <x v="0"/>
    <s v="Yes"/>
    <x v="4"/>
  </r>
  <r>
    <x v="859"/>
    <x v="11"/>
    <x v="1"/>
    <x v="0"/>
    <x v="1"/>
    <x v="5"/>
    <x v="15"/>
    <x v="7"/>
    <x v="392"/>
    <x v="6"/>
    <s v="Laptop"/>
    <x v="1"/>
    <s v="No"/>
    <x v="3"/>
  </r>
  <r>
    <x v="860"/>
    <x v="3"/>
    <x v="1"/>
    <x v="2"/>
    <x v="2"/>
    <x v="1"/>
    <x v="3"/>
    <x v="3"/>
    <x v="754"/>
    <x v="0"/>
    <s v="Laptop"/>
    <x v="1"/>
    <s v="Yes"/>
    <x v="2"/>
  </r>
  <r>
    <x v="861"/>
    <x v="21"/>
    <x v="0"/>
    <x v="1"/>
    <x v="0"/>
    <x v="4"/>
    <x v="8"/>
    <x v="7"/>
    <x v="381"/>
    <x v="4"/>
    <s v="TV"/>
    <x v="0"/>
    <s v="Yes"/>
    <x v="1"/>
  </r>
  <r>
    <x v="862"/>
    <x v="5"/>
    <x v="0"/>
    <x v="0"/>
    <x v="0"/>
    <x v="0"/>
    <x v="21"/>
    <x v="4"/>
    <x v="755"/>
    <x v="2"/>
    <s v="Tablet"/>
    <x v="1"/>
    <s v="No"/>
    <x v="0"/>
  </r>
  <r>
    <x v="863"/>
    <x v="0"/>
    <x v="2"/>
    <x v="0"/>
    <x v="2"/>
    <x v="2"/>
    <x v="8"/>
    <x v="1"/>
    <x v="756"/>
    <x v="5"/>
    <s v="Laptop"/>
    <x v="1"/>
    <s v="No"/>
    <x v="1"/>
  </r>
  <r>
    <x v="864"/>
    <x v="15"/>
    <x v="0"/>
    <x v="2"/>
    <x v="2"/>
    <x v="5"/>
    <x v="3"/>
    <x v="4"/>
    <x v="163"/>
    <x v="2"/>
    <s v="Mobile"/>
    <x v="0"/>
    <s v="Yes"/>
    <x v="0"/>
  </r>
  <r>
    <x v="865"/>
    <x v="4"/>
    <x v="0"/>
    <x v="1"/>
    <x v="2"/>
    <x v="1"/>
    <x v="7"/>
    <x v="1"/>
    <x v="606"/>
    <x v="0"/>
    <s v="Laptop"/>
    <x v="1"/>
    <s v="No"/>
    <x v="3"/>
  </r>
  <r>
    <x v="866"/>
    <x v="8"/>
    <x v="2"/>
    <x v="2"/>
    <x v="1"/>
    <x v="4"/>
    <x v="4"/>
    <x v="0"/>
    <x v="757"/>
    <x v="0"/>
    <s v="Laptop"/>
    <x v="0"/>
    <s v="No"/>
    <x v="4"/>
  </r>
  <r>
    <x v="867"/>
    <x v="20"/>
    <x v="0"/>
    <x v="1"/>
    <x v="2"/>
    <x v="5"/>
    <x v="1"/>
    <x v="4"/>
    <x v="758"/>
    <x v="1"/>
    <s v="Tablet"/>
    <x v="0"/>
    <s v="No"/>
    <x v="0"/>
  </r>
  <r>
    <x v="868"/>
    <x v="12"/>
    <x v="2"/>
    <x v="0"/>
    <x v="1"/>
    <x v="1"/>
    <x v="17"/>
    <x v="7"/>
    <x v="759"/>
    <x v="3"/>
    <s v="Tablet"/>
    <x v="0"/>
    <s v="No"/>
    <x v="3"/>
  </r>
  <r>
    <x v="869"/>
    <x v="20"/>
    <x v="0"/>
    <x v="0"/>
    <x v="1"/>
    <x v="4"/>
    <x v="23"/>
    <x v="5"/>
    <x v="760"/>
    <x v="2"/>
    <s v="Laptop"/>
    <x v="0"/>
    <s v="Yes"/>
    <x v="2"/>
  </r>
  <r>
    <x v="870"/>
    <x v="1"/>
    <x v="2"/>
    <x v="2"/>
    <x v="2"/>
    <x v="4"/>
    <x v="19"/>
    <x v="3"/>
    <x v="761"/>
    <x v="2"/>
    <s v="Laptop"/>
    <x v="0"/>
    <s v="Yes"/>
    <x v="2"/>
  </r>
  <r>
    <x v="871"/>
    <x v="20"/>
    <x v="0"/>
    <x v="1"/>
    <x v="2"/>
    <x v="4"/>
    <x v="11"/>
    <x v="4"/>
    <x v="762"/>
    <x v="4"/>
    <s v="Tablet"/>
    <x v="1"/>
    <s v="No"/>
    <x v="3"/>
  </r>
  <r>
    <x v="872"/>
    <x v="21"/>
    <x v="0"/>
    <x v="2"/>
    <x v="1"/>
    <x v="5"/>
    <x v="7"/>
    <x v="2"/>
    <x v="763"/>
    <x v="7"/>
    <s v="TV"/>
    <x v="0"/>
    <s v="Yes"/>
    <x v="3"/>
  </r>
  <r>
    <x v="873"/>
    <x v="12"/>
    <x v="0"/>
    <x v="2"/>
    <x v="2"/>
    <x v="2"/>
    <x v="8"/>
    <x v="6"/>
    <x v="517"/>
    <x v="6"/>
    <s v="Laptop"/>
    <x v="1"/>
    <s v="Yes"/>
    <x v="0"/>
  </r>
  <r>
    <x v="874"/>
    <x v="19"/>
    <x v="1"/>
    <x v="2"/>
    <x v="0"/>
    <x v="5"/>
    <x v="1"/>
    <x v="1"/>
    <x v="764"/>
    <x v="1"/>
    <s v="TV"/>
    <x v="0"/>
    <s v="Yes"/>
    <x v="4"/>
  </r>
  <r>
    <x v="875"/>
    <x v="8"/>
    <x v="2"/>
    <x v="0"/>
    <x v="2"/>
    <x v="2"/>
    <x v="21"/>
    <x v="0"/>
    <x v="470"/>
    <x v="6"/>
    <s v="Tablet"/>
    <x v="1"/>
    <s v="No"/>
    <x v="0"/>
  </r>
  <r>
    <x v="876"/>
    <x v="3"/>
    <x v="1"/>
    <x v="1"/>
    <x v="0"/>
    <x v="1"/>
    <x v="5"/>
    <x v="4"/>
    <x v="765"/>
    <x v="5"/>
    <s v="TV"/>
    <x v="0"/>
    <s v="Yes"/>
    <x v="4"/>
  </r>
  <r>
    <x v="877"/>
    <x v="6"/>
    <x v="1"/>
    <x v="2"/>
    <x v="1"/>
    <x v="4"/>
    <x v="20"/>
    <x v="5"/>
    <x v="766"/>
    <x v="0"/>
    <s v="Mobile"/>
    <x v="0"/>
    <s v="Yes"/>
    <x v="0"/>
  </r>
  <r>
    <x v="878"/>
    <x v="0"/>
    <x v="0"/>
    <x v="1"/>
    <x v="1"/>
    <x v="5"/>
    <x v="18"/>
    <x v="0"/>
    <x v="671"/>
    <x v="6"/>
    <s v="Mobile"/>
    <x v="1"/>
    <s v="No"/>
    <x v="4"/>
  </r>
  <r>
    <x v="879"/>
    <x v="11"/>
    <x v="2"/>
    <x v="0"/>
    <x v="0"/>
    <x v="4"/>
    <x v="14"/>
    <x v="0"/>
    <x v="48"/>
    <x v="7"/>
    <s v="Tablet"/>
    <x v="1"/>
    <s v="No"/>
    <x v="1"/>
  </r>
  <r>
    <x v="880"/>
    <x v="21"/>
    <x v="2"/>
    <x v="1"/>
    <x v="1"/>
    <x v="2"/>
    <x v="5"/>
    <x v="5"/>
    <x v="767"/>
    <x v="5"/>
    <s v="Laptop"/>
    <x v="0"/>
    <s v="No"/>
    <x v="1"/>
  </r>
  <r>
    <x v="881"/>
    <x v="19"/>
    <x v="2"/>
    <x v="2"/>
    <x v="1"/>
    <x v="5"/>
    <x v="18"/>
    <x v="7"/>
    <x v="422"/>
    <x v="7"/>
    <s v="Laptop"/>
    <x v="1"/>
    <s v="Yes"/>
    <x v="3"/>
  </r>
  <r>
    <x v="882"/>
    <x v="6"/>
    <x v="1"/>
    <x v="1"/>
    <x v="0"/>
    <x v="5"/>
    <x v="16"/>
    <x v="1"/>
    <x v="279"/>
    <x v="4"/>
    <s v="Tablet"/>
    <x v="0"/>
    <s v="No"/>
    <x v="1"/>
  </r>
  <r>
    <x v="883"/>
    <x v="18"/>
    <x v="0"/>
    <x v="0"/>
    <x v="1"/>
    <x v="1"/>
    <x v="10"/>
    <x v="0"/>
    <x v="768"/>
    <x v="5"/>
    <s v="TV"/>
    <x v="0"/>
    <s v="No"/>
    <x v="4"/>
  </r>
  <r>
    <x v="884"/>
    <x v="11"/>
    <x v="2"/>
    <x v="0"/>
    <x v="1"/>
    <x v="5"/>
    <x v="4"/>
    <x v="2"/>
    <x v="235"/>
    <x v="3"/>
    <s v="Mobile"/>
    <x v="1"/>
    <s v="Yes"/>
    <x v="2"/>
  </r>
  <r>
    <x v="885"/>
    <x v="14"/>
    <x v="0"/>
    <x v="0"/>
    <x v="1"/>
    <x v="1"/>
    <x v="24"/>
    <x v="5"/>
    <x v="769"/>
    <x v="1"/>
    <s v="Laptop"/>
    <x v="1"/>
    <s v="No"/>
    <x v="0"/>
  </r>
  <r>
    <x v="886"/>
    <x v="8"/>
    <x v="0"/>
    <x v="2"/>
    <x v="0"/>
    <x v="0"/>
    <x v="17"/>
    <x v="0"/>
    <x v="99"/>
    <x v="0"/>
    <s v="Tablet"/>
    <x v="0"/>
    <s v="Yes"/>
    <x v="2"/>
  </r>
  <r>
    <x v="887"/>
    <x v="14"/>
    <x v="0"/>
    <x v="0"/>
    <x v="2"/>
    <x v="2"/>
    <x v="13"/>
    <x v="3"/>
    <x v="770"/>
    <x v="5"/>
    <s v="Mobile"/>
    <x v="1"/>
    <s v="Yes"/>
    <x v="3"/>
  </r>
  <r>
    <x v="888"/>
    <x v="20"/>
    <x v="0"/>
    <x v="2"/>
    <x v="2"/>
    <x v="4"/>
    <x v="4"/>
    <x v="7"/>
    <x v="599"/>
    <x v="6"/>
    <s v="Laptop"/>
    <x v="0"/>
    <s v="No"/>
    <x v="2"/>
  </r>
  <r>
    <x v="889"/>
    <x v="21"/>
    <x v="1"/>
    <x v="2"/>
    <x v="0"/>
    <x v="3"/>
    <x v="25"/>
    <x v="7"/>
    <x v="430"/>
    <x v="7"/>
    <s v="Tablet"/>
    <x v="0"/>
    <s v="Yes"/>
    <x v="1"/>
  </r>
  <r>
    <x v="890"/>
    <x v="15"/>
    <x v="0"/>
    <x v="2"/>
    <x v="0"/>
    <x v="5"/>
    <x v="9"/>
    <x v="6"/>
    <x v="771"/>
    <x v="4"/>
    <s v="Laptop"/>
    <x v="1"/>
    <s v="Yes"/>
    <x v="2"/>
  </r>
  <r>
    <x v="891"/>
    <x v="11"/>
    <x v="0"/>
    <x v="0"/>
    <x v="1"/>
    <x v="0"/>
    <x v="18"/>
    <x v="2"/>
    <x v="154"/>
    <x v="2"/>
    <s v="TV"/>
    <x v="1"/>
    <s v="Yes"/>
    <x v="3"/>
  </r>
  <r>
    <x v="892"/>
    <x v="1"/>
    <x v="1"/>
    <x v="1"/>
    <x v="2"/>
    <x v="0"/>
    <x v="5"/>
    <x v="4"/>
    <x v="772"/>
    <x v="5"/>
    <s v="Tablet"/>
    <x v="0"/>
    <s v="No"/>
    <x v="1"/>
  </r>
  <r>
    <x v="893"/>
    <x v="2"/>
    <x v="2"/>
    <x v="0"/>
    <x v="1"/>
    <x v="5"/>
    <x v="1"/>
    <x v="5"/>
    <x v="773"/>
    <x v="4"/>
    <s v="Laptop"/>
    <x v="1"/>
    <s v="No"/>
    <x v="0"/>
  </r>
  <r>
    <x v="894"/>
    <x v="12"/>
    <x v="2"/>
    <x v="2"/>
    <x v="0"/>
    <x v="5"/>
    <x v="20"/>
    <x v="1"/>
    <x v="774"/>
    <x v="5"/>
    <s v="Laptop"/>
    <x v="1"/>
    <s v="No"/>
    <x v="0"/>
  </r>
  <r>
    <x v="895"/>
    <x v="0"/>
    <x v="0"/>
    <x v="2"/>
    <x v="2"/>
    <x v="5"/>
    <x v="4"/>
    <x v="1"/>
    <x v="126"/>
    <x v="2"/>
    <s v="TV"/>
    <x v="1"/>
    <s v="Yes"/>
    <x v="3"/>
  </r>
  <r>
    <x v="896"/>
    <x v="7"/>
    <x v="0"/>
    <x v="1"/>
    <x v="0"/>
    <x v="3"/>
    <x v="25"/>
    <x v="3"/>
    <x v="327"/>
    <x v="7"/>
    <s v="TV"/>
    <x v="0"/>
    <s v="No"/>
    <x v="4"/>
  </r>
  <r>
    <x v="897"/>
    <x v="7"/>
    <x v="1"/>
    <x v="1"/>
    <x v="0"/>
    <x v="4"/>
    <x v="18"/>
    <x v="7"/>
    <x v="775"/>
    <x v="1"/>
    <s v="Mobile"/>
    <x v="1"/>
    <s v="No"/>
    <x v="2"/>
  </r>
  <r>
    <x v="898"/>
    <x v="9"/>
    <x v="0"/>
    <x v="2"/>
    <x v="2"/>
    <x v="0"/>
    <x v="1"/>
    <x v="0"/>
    <x v="776"/>
    <x v="5"/>
    <s v="Tablet"/>
    <x v="1"/>
    <s v="No"/>
    <x v="3"/>
  </r>
  <r>
    <x v="899"/>
    <x v="11"/>
    <x v="2"/>
    <x v="0"/>
    <x v="2"/>
    <x v="4"/>
    <x v="1"/>
    <x v="0"/>
    <x v="568"/>
    <x v="0"/>
    <s v="Tablet"/>
    <x v="0"/>
    <s v="No"/>
    <x v="4"/>
  </r>
  <r>
    <x v="900"/>
    <x v="10"/>
    <x v="0"/>
    <x v="1"/>
    <x v="0"/>
    <x v="0"/>
    <x v="16"/>
    <x v="6"/>
    <x v="777"/>
    <x v="6"/>
    <s v="TV"/>
    <x v="0"/>
    <s v="No"/>
    <x v="1"/>
  </r>
  <r>
    <x v="901"/>
    <x v="19"/>
    <x v="2"/>
    <x v="2"/>
    <x v="0"/>
    <x v="3"/>
    <x v="7"/>
    <x v="4"/>
    <x v="778"/>
    <x v="0"/>
    <s v="Tablet"/>
    <x v="1"/>
    <s v="No"/>
    <x v="2"/>
  </r>
  <r>
    <x v="902"/>
    <x v="18"/>
    <x v="0"/>
    <x v="2"/>
    <x v="2"/>
    <x v="4"/>
    <x v="12"/>
    <x v="6"/>
    <x v="779"/>
    <x v="5"/>
    <s v="TV"/>
    <x v="1"/>
    <s v="No"/>
    <x v="4"/>
  </r>
  <r>
    <x v="903"/>
    <x v="0"/>
    <x v="0"/>
    <x v="0"/>
    <x v="0"/>
    <x v="3"/>
    <x v="0"/>
    <x v="6"/>
    <x v="127"/>
    <x v="4"/>
    <s v="Mobile"/>
    <x v="1"/>
    <s v="No"/>
    <x v="1"/>
  </r>
  <r>
    <x v="904"/>
    <x v="22"/>
    <x v="1"/>
    <x v="1"/>
    <x v="1"/>
    <x v="3"/>
    <x v="25"/>
    <x v="6"/>
    <x v="780"/>
    <x v="2"/>
    <s v="Mobile"/>
    <x v="0"/>
    <s v="Yes"/>
    <x v="3"/>
  </r>
  <r>
    <x v="905"/>
    <x v="16"/>
    <x v="1"/>
    <x v="2"/>
    <x v="2"/>
    <x v="2"/>
    <x v="4"/>
    <x v="2"/>
    <x v="781"/>
    <x v="4"/>
    <s v="Tablet"/>
    <x v="0"/>
    <s v="Yes"/>
    <x v="0"/>
  </r>
  <r>
    <x v="906"/>
    <x v="18"/>
    <x v="1"/>
    <x v="1"/>
    <x v="1"/>
    <x v="3"/>
    <x v="8"/>
    <x v="3"/>
    <x v="782"/>
    <x v="6"/>
    <s v="Tablet"/>
    <x v="1"/>
    <s v="No"/>
    <x v="4"/>
  </r>
  <r>
    <x v="907"/>
    <x v="13"/>
    <x v="2"/>
    <x v="2"/>
    <x v="0"/>
    <x v="2"/>
    <x v="14"/>
    <x v="3"/>
    <x v="747"/>
    <x v="1"/>
    <s v="Mobile"/>
    <x v="0"/>
    <s v="No"/>
    <x v="0"/>
  </r>
  <r>
    <x v="908"/>
    <x v="19"/>
    <x v="2"/>
    <x v="1"/>
    <x v="0"/>
    <x v="4"/>
    <x v="1"/>
    <x v="0"/>
    <x v="783"/>
    <x v="7"/>
    <s v="Laptop"/>
    <x v="1"/>
    <s v="No"/>
    <x v="3"/>
  </r>
  <r>
    <x v="909"/>
    <x v="4"/>
    <x v="1"/>
    <x v="0"/>
    <x v="0"/>
    <x v="1"/>
    <x v="24"/>
    <x v="7"/>
    <x v="784"/>
    <x v="5"/>
    <s v="Tablet"/>
    <x v="0"/>
    <s v="No"/>
    <x v="3"/>
  </r>
  <r>
    <x v="910"/>
    <x v="11"/>
    <x v="0"/>
    <x v="2"/>
    <x v="2"/>
    <x v="5"/>
    <x v="4"/>
    <x v="0"/>
    <x v="633"/>
    <x v="4"/>
    <s v="Tablet"/>
    <x v="0"/>
    <s v="Yes"/>
    <x v="4"/>
  </r>
  <r>
    <x v="911"/>
    <x v="22"/>
    <x v="2"/>
    <x v="0"/>
    <x v="2"/>
    <x v="0"/>
    <x v="18"/>
    <x v="4"/>
    <x v="785"/>
    <x v="7"/>
    <s v="TV"/>
    <x v="0"/>
    <s v="Yes"/>
    <x v="3"/>
  </r>
  <r>
    <x v="912"/>
    <x v="3"/>
    <x v="2"/>
    <x v="2"/>
    <x v="2"/>
    <x v="5"/>
    <x v="20"/>
    <x v="7"/>
    <x v="95"/>
    <x v="3"/>
    <s v="Tablet"/>
    <x v="1"/>
    <s v="No"/>
    <x v="3"/>
  </r>
  <r>
    <x v="913"/>
    <x v="7"/>
    <x v="1"/>
    <x v="1"/>
    <x v="0"/>
    <x v="2"/>
    <x v="17"/>
    <x v="3"/>
    <x v="347"/>
    <x v="5"/>
    <s v="Laptop"/>
    <x v="1"/>
    <s v="No"/>
    <x v="4"/>
  </r>
  <r>
    <x v="914"/>
    <x v="15"/>
    <x v="1"/>
    <x v="0"/>
    <x v="0"/>
    <x v="1"/>
    <x v="20"/>
    <x v="0"/>
    <x v="786"/>
    <x v="3"/>
    <s v="Mobile"/>
    <x v="1"/>
    <s v="Yes"/>
    <x v="2"/>
  </r>
  <r>
    <x v="915"/>
    <x v="1"/>
    <x v="0"/>
    <x v="2"/>
    <x v="1"/>
    <x v="0"/>
    <x v="7"/>
    <x v="1"/>
    <x v="184"/>
    <x v="5"/>
    <s v="Tablet"/>
    <x v="0"/>
    <s v="Yes"/>
    <x v="0"/>
  </r>
  <r>
    <x v="916"/>
    <x v="4"/>
    <x v="0"/>
    <x v="0"/>
    <x v="2"/>
    <x v="0"/>
    <x v="19"/>
    <x v="5"/>
    <x v="226"/>
    <x v="2"/>
    <s v="Mobile"/>
    <x v="0"/>
    <s v="Yes"/>
    <x v="3"/>
  </r>
  <r>
    <x v="917"/>
    <x v="15"/>
    <x v="1"/>
    <x v="1"/>
    <x v="1"/>
    <x v="1"/>
    <x v="2"/>
    <x v="2"/>
    <x v="787"/>
    <x v="7"/>
    <s v="Mobile"/>
    <x v="0"/>
    <s v="Yes"/>
    <x v="4"/>
  </r>
  <r>
    <x v="918"/>
    <x v="18"/>
    <x v="1"/>
    <x v="1"/>
    <x v="2"/>
    <x v="2"/>
    <x v="24"/>
    <x v="6"/>
    <x v="788"/>
    <x v="4"/>
    <s v="TV"/>
    <x v="0"/>
    <s v="Yes"/>
    <x v="2"/>
  </r>
  <r>
    <x v="919"/>
    <x v="8"/>
    <x v="2"/>
    <x v="1"/>
    <x v="1"/>
    <x v="3"/>
    <x v="12"/>
    <x v="4"/>
    <x v="789"/>
    <x v="1"/>
    <s v="Tablet"/>
    <x v="0"/>
    <s v="Yes"/>
    <x v="1"/>
  </r>
  <r>
    <x v="920"/>
    <x v="21"/>
    <x v="0"/>
    <x v="2"/>
    <x v="1"/>
    <x v="1"/>
    <x v="21"/>
    <x v="2"/>
    <x v="790"/>
    <x v="0"/>
    <s v="Mobile"/>
    <x v="1"/>
    <s v="No"/>
    <x v="0"/>
  </r>
  <r>
    <x v="921"/>
    <x v="12"/>
    <x v="2"/>
    <x v="2"/>
    <x v="2"/>
    <x v="2"/>
    <x v="23"/>
    <x v="7"/>
    <x v="791"/>
    <x v="6"/>
    <s v="Mobile"/>
    <x v="1"/>
    <s v="No"/>
    <x v="1"/>
  </r>
  <r>
    <x v="922"/>
    <x v="4"/>
    <x v="2"/>
    <x v="0"/>
    <x v="2"/>
    <x v="0"/>
    <x v="11"/>
    <x v="6"/>
    <x v="792"/>
    <x v="4"/>
    <s v="Tablet"/>
    <x v="0"/>
    <s v="Yes"/>
    <x v="1"/>
  </r>
  <r>
    <x v="923"/>
    <x v="3"/>
    <x v="1"/>
    <x v="2"/>
    <x v="1"/>
    <x v="4"/>
    <x v="23"/>
    <x v="7"/>
    <x v="793"/>
    <x v="1"/>
    <s v="Mobile"/>
    <x v="0"/>
    <s v="No"/>
    <x v="3"/>
  </r>
  <r>
    <x v="924"/>
    <x v="0"/>
    <x v="2"/>
    <x v="2"/>
    <x v="0"/>
    <x v="2"/>
    <x v="0"/>
    <x v="7"/>
    <x v="794"/>
    <x v="7"/>
    <s v="Tablet"/>
    <x v="1"/>
    <s v="No"/>
    <x v="1"/>
  </r>
  <r>
    <x v="925"/>
    <x v="16"/>
    <x v="1"/>
    <x v="2"/>
    <x v="2"/>
    <x v="5"/>
    <x v="1"/>
    <x v="0"/>
    <x v="795"/>
    <x v="5"/>
    <s v="Tablet"/>
    <x v="1"/>
    <s v="No"/>
    <x v="1"/>
  </r>
  <r>
    <x v="926"/>
    <x v="7"/>
    <x v="2"/>
    <x v="2"/>
    <x v="0"/>
    <x v="5"/>
    <x v="18"/>
    <x v="5"/>
    <x v="367"/>
    <x v="4"/>
    <s v="TV"/>
    <x v="1"/>
    <s v="No"/>
    <x v="3"/>
  </r>
  <r>
    <x v="927"/>
    <x v="1"/>
    <x v="2"/>
    <x v="0"/>
    <x v="0"/>
    <x v="2"/>
    <x v="15"/>
    <x v="0"/>
    <x v="638"/>
    <x v="3"/>
    <s v="Tablet"/>
    <x v="1"/>
    <s v="Yes"/>
    <x v="2"/>
  </r>
  <r>
    <x v="928"/>
    <x v="20"/>
    <x v="0"/>
    <x v="1"/>
    <x v="0"/>
    <x v="2"/>
    <x v="5"/>
    <x v="5"/>
    <x v="796"/>
    <x v="4"/>
    <s v="Mobile"/>
    <x v="1"/>
    <s v="Yes"/>
    <x v="2"/>
  </r>
  <r>
    <x v="929"/>
    <x v="11"/>
    <x v="2"/>
    <x v="0"/>
    <x v="0"/>
    <x v="4"/>
    <x v="20"/>
    <x v="7"/>
    <x v="357"/>
    <x v="1"/>
    <s v="Tablet"/>
    <x v="1"/>
    <s v="No"/>
    <x v="2"/>
  </r>
  <r>
    <x v="930"/>
    <x v="7"/>
    <x v="2"/>
    <x v="0"/>
    <x v="1"/>
    <x v="4"/>
    <x v="19"/>
    <x v="7"/>
    <x v="797"/>
    <x v="4"/>
    <s v="Laptop"/>
    <x v="1"/>
    <s v="Yes"/>
    <x v="1"/>
  </r>
  <r>
    <x v="931"/>
    <x v="20"/>
    <x v="2"/>
    <x v="0"/>
    <x v="2"/>
    <x v="5"/>
    <x v="7"/>
    <x v="4"/>
    <x v="798"/>
    <x v="4"/>
    <s v="Tablet"/>
    <x v="1"/>
    <s v="Yes"/>
    <x v="0"/>
  </r>
  <r>
    <x v="932"/>
    <x v="14"/>
    <x v="1"/>
    <x v="2"/>
    <x v="1"/>
    <x v="2"/>
    <x v="10"/>
    <x v="4"/>
    <x v="518"/>
    <x v="7"/>
    <s v="Tablet"/>
    <x v="1"/>
    <s v="No"/>
    <x v="0"/>
  </r>
  <r>
    <x v="933"/>
    <x v="20"/>
    <x v="0"/>
    <x v="1"/>
    <x v="0"/>
    <x v="1"/>
    <x v="24"/>
    <x v="5"/>
    <x v="799"/>
    <x v="1"/>
    <s v="TV"/>
    <x v="0"/>
    <s v="No"/>
    <x v="1"/>
  </r>
  <r>
    <x v="934"/>
    <x v="19"/>
    <x v="2"/>
    <x v="2"/>
    <x v="0"/>
    <x v="4"/>
    <x v="12"/>
    <x v="4"/>
    <x v="800"/>
    <x v="3"/>
    <s v="Mobile"/>
    <x v="0"/>
    <s v="No"/>
    <x v="3"/>
  </r>
  <r>
    <x v="935"/>
    <x v="0"/>
    <x v="0"/>
    <x v="1"/>
    <x v="1"/>
    <x v="4"/>
    <x v="0"/>
    <x v="7"/>
    <x v="801"/>
    <x v="3"/>
    <s v="Mobile"/>
    <x v="0"/>
    <s v="Yes"/>
    <x v="1"/>
  </r>
  <r>
    <x v="936"/>
    <x v="15"/>
    <x v="0"/>
    <x v="0"/>
    <x v="1"/>
    <x v="0"/>
    <x v="8"/>
    <x v="2"/>
    <x v="802"/>
    <x v="2"/>
    <s v="TV"/>
    <x v="0"/>
    <s v="No"/>
    <x v="4"/>
  </r>
  <r>
    <x v="937"/>
    <x v="9"/>
    <x v="0"/>
    <x v="0"/>
    <x v="0"/>
    <x v="5"/>
    <x v="2"/>
    <x v="0"/>
    <x v="803"/>
    <x v="0"/>
    <s v="Laptop"/>
    <x v="0"/>
    <s v="Yes"/>
    <x v="2"/>
  </r>
  <r>
    <x v="938"/>
    <x v="13"/>
    <x v="2"/>
    <x v="0"/>
    <x v="0"/>
    <x v="2"/>
    <x v="18"/>
    <x v="1"/>
    <x v="612"/>
    <x v="6"/>
    <s v="Laptop"/>
    <x v="0"/>
    <s v="No"/>
    <x v="4"/>
  </r>
  <r>
    <x v="939"/>
    <x v="9"/>
    <x v="0"/>
    <x v="1"/>
    <x v="0"/>
    <x v="0"/>
    <x v="22"/>
    <x v="6"/>
    <x v="602"/>
    <x v="4"/>
    <s v="Laptop"/>
    <x v="0"/>
    <s v="Yes"/>
    <x v="1"/>
  </r>
  <r>
    <x v="940"/>
    <x v="15"/>
    <x v="0"/>
    <x v="1"/>
    <x v="2"/>
    <x v="2"/>
    <x v="9"/>
    <x v="5"/>
    <x v="804"/>
    <x v="0"/>
    <s v="Tablet"/>
    <x v="1"/>
    <s v="No"/>
    <x v="1"/>
  </r>
  <r>
    <x v="941"/>
    <x v="17"/>
    <x v="2"/>
    <x v="1"/>
    <x v="2"/>
    <x v="1"/>
    <x v="16"/>
    <x v="6"/>
    <x v="266"/>
    <x v="2"/>
    <s v="Tablet"/>
    <x v="0"/>
    <s v="No"/>
    <x v="2"/>
  </r>
  <r>
    <x v="942"/>
    <x v="21"/>
    <x v="1"/>
    <x v="2"/>
    <x v="1"/>
    <x v="5"/>
    <x v="21"/>
    <x v="4"/>
    <x v="805"/>
    <x v="3"/>
    <s v="TV"/>
    <x v="0"/>
    <s v="No"/>
    <x v="2"/>
  </r>
  <r>
    <x v="943"/>
    <x v="12"/>
    <x v="2"/>
    <x v="2"/>
    <x v="1"/>
    <x v="1"/>
    <x v="19"/>
    <x v="7"/>
    <x v="385"/>
    <x v="5"/>
    <s v="Mobile"/>
    <x v="0"/>
    <s v="Yes"/>
    <x v="3"/>
  </r>
  <r>
    <x v="944"/>
    <x v="3"/>
    <x v="2"/>
    <x v="1"/>
    <x v="1"/>
    <x v="1"/>
    <x v="6"/>
    <x v="5"/>
    <x v="806"/>
    <x v="2"/>
    <s v="Tablet"/>
    <x v="0"/>
    <s v="No"/>
    <x v="1"/>
  </r>
  <r>
    <x v="945"/>
    <x v="17"/>
    <x v="1"/>
    <x v="2"/>
    <x v="1"/>
    <x v="0"/>
    <x v="23"/>
    <x v="5"/>
    <x v="597"/>
    <x v="4"/>
    <s v="TV"/>
    <x v="1"/>
    <s v="No"/>
    <x v="3"/>
  </r>
  <r>
    <x v="946"/>
    <x v="1"/>
    <x v="0"/>
    <x v="0"/>
    <x v="1"/>
    <x v="3"/>
    <x v="17"/>
    <x v="4"/>
    <x v="246"/>
    <x v="6"/>
    <s v="TV"/>
    <x v="0"/>
    <s v="Yes"/>
    <x v="3"/>
  </r>
  <r>
    <x v="947"/>
    <x v="7"/>
    <x v="2"/>
    <x v="0"/>
    <x v="0"/>
    <x v="5"/>
    <x v="25"/>
    <x v="5"/>
    <x v="807"/>
    <x v="0"/>
    <s v="Mobile"/>
    <x v="0"/>
    <s v="No"/>
    <x v="4"/>
  </r>
  <r>
    <x v="948"/>
    <x v="3"/>
    <x v="0"/>
    <x v="1"/>
    <x v="0"/>
    <x v="0"/>
    <x v="3"/>
    <x v="4"/>
    <x v="715"/>
    <x v="5"/>
    <s v="Laptop"/>
    <x v="0"/>
    <s v="Yes"/>
    <x v="2"/>
  </r>
  <r>
    <x v="949"/>
    <x v="5"/>
    <x v="0"/>
    <x v="0"/>
    <x v="1"/>
    <x v="1"/>
    <x v="23"/>
    <x v="1"/>
    <x v="396"/>
    <x v="1"/>
    <s v="Mobile"/>
    <x v="0"/>
    <s v="Yes"/>
    <x v="0"/>
  </r>
  <r>
    <x v="950"/>
    <x v="11"/>
    <x v="2"/>
    <x v="1"/>
    <x v="1"/>
    <x v="5"/>
    <x v="17"/>
    <x v="0"/>
    <x v="808"/>
    <x v="7"/>
    <s v="Laptop"/>
    <x v="1"/>
    <s v="Yes"/>
    <x v="2"/>
  </r>
  <r>
    <x v="951"/>
    <x v="11"/>
    <x v="2"/>
    <x v="1"/>
    <x v="1"/>
    <x v="5"/>
    <x v="21"/>
    <x v="2"/>
    <x v="698"/>
    <x v="0"/>
    <s v="Tablet"/>
    <x v="1"/>
    <s v="No"/>
    <x v="1"/>
  </r>
  <r>
    <x v="952"/>
    <x v="1"/>
    <x v="1"/>
    <x v="1"/>
    <x v="0"/>
    <x v="3"/>
    <x v="21"/>
    <x v="4"/>
    <x v="809"/>
    <x v="1"/>
    <s v="Mobile"/>
    <x v="1"/>
    <s v="Yes"/>
    <x v="3"/>
  </r>
  <r>
    <x v="953"/>
    <x v="22"/>
    <x v="1"/>
    <x v="1"/>
    <x v="0"/>
    <x v="1"/>
    <x v="13"/>
    <x v="5"/>
    <x v="497"/>
    <x v="0"/>
    <s v="Laptop"/>
    <x v="1"/>
    <s v="No"/>
    <x v="4"/>
  </r>
  <r>
    <x v="954"/>
    <x v="9"/>
    <x v="1"/>
    <x v="1"/>
    <x v="2"/>
    <x v="0"/>
    <x v="17"/>
    <x v="6"/>
    <x v="810"/>
    <x v="3"/>
    <s v="TV"/>
    <x v="1"/>
    <s v="No"/>
    <x v="2"/>
  </r>
  <r>
    <x v="955"/>
    <x v="11"/>
    <x v="0"/>
    <x v="2"/>
    <x v="1"/>
    <x v="2"/>
    <x v="11"/>
    <x v="6"/>
    <x v="811"/>
    <x v="1"/>
    <s v="Tablet"/>
    <x v="0"/>
    <s v="Yes"/>
    <x v="3"/>
  </r>
  <r>
    <x v="956"/>
    <x v="3"/>
    <x v="1"/>
    <x v="2"/>
    <x v="0"/>
    <x v="5"/>
    <x v="4"/>
    <x v="4"/>
    <x v="63"/>
    <x v="4"/>
    <s v="TV"/>
    <x v="0"/>
    <s v="Yes"/>
    <x v="1"/>
  </r>
  <r>
    <x v="957"/>
    <x v="19"/>
    <x v="1"/>
    <x v="1"/>
    <x v="2"/>
    <x v="4"/>
    <x v="23"/>
    <x v="5"/>
    <x v="812"/>
    <x v="1"/>
    <s v="Mobile"/>
    <x v="0"/>
    <s v="Yes"/>
    <x v="3"/>
  </r>
  <r>
    <x v="958"/>
    <x v="11"/>
    <x v="1"/>
    <x v="2"/>
    <x v="1"/>
    <x v="3"/>
    <x v="7"/>
    <x v="4"/>
    <x v="813"/>
    <x v="3"/>
    <s v="Tablet"/>
    <x v="1"/>
    <s v="Yes"/>
    <x v="4"/>
  </r>
  <r>
    <x v="959"/>
    <x v="20"/>
    <x v="0"/>
    <x v="0"/>
    <x v="2"/>
    <x v="3"/>
    <x v="2"/>
    <x v="7"/>
    <x v="478"/>
    <x v="7"/>
    <s v="Laptop"/>
    <x v="1"/>
    <s v="No"/>
    <x v="1"/>
  </r>
  <r>
    <x v="960"/>
    <x v="19"/>
    <x v="1"/>
    <x v="0"/>
    <x v="0"/>
    <x v="4"/>
    <x v="14"/>
    <x v="6"/>
    <x v="814"/>
    <x v="3"/>
    <s v="Laptop"/>
    <x v="0"/>
    <s v="Yes"/>
    <x v="2"/>
  </r>
  <r>
    <x v="961"/>
    <x v="19"/>
    <x v="2"/>
    <x v="0"/>
    <x v="2"/>
    <x v="2"/>
    <x v="8"/>
    <x v="3"/>
    <x v="815"/>
    <x v="2"/>
    <s v="Laptop"/>
    <x v="1"/>
    <s v="No"/>
    <x v="3"/>
  </r>
  <r>
    <x v="962"/>
    <x v="8"/>
    <x v="0"/>
    <x v="1"/>
    <x v="1"/>
    <x v="1"/>
    <x v="0"/>
    <x v="4"/>
    <x v="816"/>
    <x v="7"/>
    <s v="Laptop"/>
    <x v="1"/>
    <s v="No"/>
    <x v="2"/>
  </r>
  <r>
    <x v="963"/>
    <x v="3"/>
    <x v="1"/>
    <x v="0"/>
    <x v="1"/>
    <x v="2"/>
    <x v="12"/>
    <x v="7"/>
    <x v="817"/>
    <x v="0"/>
    <s v="Mobile"/>
    <x v="1"/>
    <s v="No"/>
    <x v="0"/>
  </r>
  <r>
    <x v="964"/>
    <x v="4"/>
    <x v="0"/>
    <x v="0"/>
    <x v="0"/>
    <x v="5"/>
    <x v="3"/>
    <x v="3"/>
    <x v="818"/>
    <x v="2"/>
    <s v="Laptop"/>
    <x v="0"/>
    <s v="No"/>
    <x v="0"/>
  </r>
  <r>
    <x v="965"/>
    <x v="14"/>
    <x v="1"/>
    <x v="1"/>
    <x v="0"/>
    <x v="3"/>
    <x v="17"/>
    <x v="4"/>
    <x v="819"/>
    <x v="3"/>
    <s v="TV"/>
    <x v="1"/>
    <s v="No"/>
    <x v="4"/>
  </r>
  <r>
    <x v="966"/>
    <x v="16"/>
    <x v="1"/>
    <x v="1"/>
    <x v="2"/>
    <x v="3"/>
    <x v="4"/>
    <x v="1"/>
    <x v="820"/>
    <x v="5"/>
    <s v="Tablet"/>
    <x v="0"/>
    <s v="Yes"/>
    <x v="0"/>
  </r>
  <r>
    <x v="967"/>
    <x v="11"/>
    <x v="1"/>
    <x v="0"/>
    <x v="1"/>
    <x v="2"/>
    <x v="16"/>
    <x v="6"/>
    <x v="821"/>
    <x v="7"/>
    <s v="Mobile"/>
    <x v="1"/>
    <s v="No"/>
    <x v="4"/>
  </r>
  <r>
    <x v="968"/>
    <x v="10"/>
    <x v="1"/>
    <x v="2"/>
    <x v="2"/>
    <x v="4"/>
    <x v="1"/>
    <x v="6"/>
    <x v="822"/>
    <x v="0"/>
    <s v="Tablet"/>
    <x v="1"/>
    <s v="No"/>
    <x v="0"/>
  </r>
  <r>
    <x v="969"/>
    <x v="20"/>
    <x v="1"/>
    <x v="1"/>
    <x v="0"/>
    <x v="4"/>
    <x v="21"/>
    <x v="4"/>
    <x v="806"/>
    <x v="1"/>
    <s v="Laptop"/>
    <x v="0"/>
    <s v="No"/>
    <x v="1"/>
  </r>
  <r>
    <x v="970"/>
    <x v="8"/>
    <x v="1"/>
    <x v="1"/>
    <x v="2"/>
    <x v="5"/>
    <x v="19"/>
    <x v="1"/>
    <x v="823"/>
    <x v="3"/>
    <s v="TV"/>
    <x v="1"/>
    <s v="No"/>
    <x v="3"/>
  </r>
  <r>
    <x v="971"/>
    <x v="8"/>
    <x v="0"/>
    <x v="0"/>
    <x v="2"/>
    <x v="5"/>
    <x v="19"/>
    <x v="7"/>
    <x v="824"/>
    <x v="2"/>
    <s v="Laptop"/>
    <x v="1"/>
    <s v="No"/>
    <x v="1"/>
  </r>
  <r>
    <x v="972"/>
    <x v="21"/>
    <x v="0"/>
    <x v="1"/>
    <x v="2"/>
    <x v="0"/>
    <x v="24"/>
    <x v="3"/>
    <x v="825"/>
    <x v="5"/>
    <s v="Mobile"/>
    <x v="0"/>
    <s v="No"/>
    <x v="4"/>
  </r>
  <r>
    <x v="973"/>
    <x v="9"/>
    <x v="2"/>
    <x v="0"/>
    <x v="2"/>
    <x v="2"/>
    <x v="7"/>
    <x v="5"/>
    <x v="826"/>
    <x v="6"/>
    <s v="Laptop"/>
    <x v="0"/>
    <s v="Yes"/>
    <x v="2"/>
  </r>
  <r>
    <x v="974"/>
    <x v="14"/>
    <x v="0"/>
    <x v="0"/>
    <x v="1"/>
    <x v="3"/>
    <x v="3"/>
    <x v="2"/>
    <x v="827"/>
    <x v="6"/>
    <s v="TV"/>
    <x v="0"/>
    <s v="Yes"/>
    <x v="2"/>
  </r>
  <r>
    <x v="975"/>
    <x v="19"/>
    <x v="0"/>
    <x v="2"/>
    <x v="2"/>
    <x v="5"/>
    <x v="2"/>
    <x v="6"/>
    <x v="690"/>
    <x v="1"/>
    <s v="TV"/>
    <x v="0"/>
    <s v="Yes"/>
    <x v="0"/>
  </r>
  <r>
    <x v="976"/>
    <x v="15"/>
    <x v="0"/>
    <x v="0"/>
    <x v="0"/>
    <x v="2"/>
    <x v="24"/>
    <x v="7"/>
    <x v="714"/>
    <x v="5"/>
    <s v="Mobile"/>
    <x v="1"/>
    <s v="No"/>
    <x v="1"/>
  </r>
  <r>
    <x v="977"/>
    <x v="14"/>
    <x v="2"/>
    <x v="1"/>
    <x v="2"/>
    <x v="0"/>
    <x v="18"/>
    <x v="7"/>
    <x v="828"/>
    <x v="6"/>
    <s v="TV"/>
    <x v="0"/>
    <s v="Yes"/>
    <x v="1"/>
  </r>
  <r>
    <x v="978"/>
    <x v="3"/>
    <x v="1"/>
    <x v="0"/>
    <x v="0"/>
    <x v="5"/>
    <x v="17"/>
    <x v="3"/>
    <x v="829"/>
    <x v="7"/>
    <s v="TV"/>
    <x v="0"/>
    <s v="No"/>
    <x v="3"/>
  </r>
  <r>
    <x v="979"/>
    <x v="10"/>
    <x v="2"/>
    <x v="2"/>
    <x v="0"/>
    <x v="3"/>
    <x v="17"/>
    <x v="3"/>
    <x v="662"/>
    <x v="5"/>
    <s v="Mobile"/>
    <x v="0"/>
    <s v="No"/>
    <x v="3"/>
  </r>
  <r>
    <x v="980"/>
    <x v="8"/>
    <x v="2"/>
    <x v="1"/>
    <x v="0"/>
    <x v="5"/>
    <x v="10"/>
    <x v="5"/>
    <x v="830"/>
    <x v="1"/>
    <s v="TV"/>
    <x v="0"/>
    <s v="No"/>
    <x v="4"/>
  </r>
  <r>
    <x v="981"/>
    <x v="22"/>
    <x v="1"/>
    <x v="0"/>
    <x v="2"/>
    <x v="0"/>
    <x v="24"/>
    <x v="1"/>
    <x v="406"/>
    <x v="7"/>
    <s v="Mobile"/>
    <x v="1"/>
    <s v="Yes"/>
    <x v="2"/>
  </r>
  <r>
    <x v="982"/>
    <x v="3"/>
    <x v="0"/>
    <x v="1"/>
    <x v="2"/>
    <x v="1"/>
    <x v="6"/>
    <x v="2"/>
    <x v="59"/>
    <x v="1"/>
    <s v="Tablet"/>
    <x v="0"/>
    <s v="No"/>
    <x v="1"/>
  </r>
  <r>
    <x v="983"/>
    <x v="16"/>
    <x v="0"/>
    <x v="1"/>
    <x v="2"/>
    <x v="5"/>
    <x v="11"/>
    <x v="2"/>
    <x v="831"/>
    <x v="6"/>
    <s v="Laptop"/>
    <x v="0"/>
    <s v="No"/>
    <x v="2"/>
  </r>
  <r>
    <x v="984"/>
    <x v="21"/>
    <x v="2"/>
    <x v="2"/>
    <x v="1"/>
    <x v="4"/>
    <x v="25"/>
    <x v="0"/>
    <x v="491"/>
    <x v="4"/>
    <s v="Mobile"/>
    <x v="1"/>
    <s v="Yes"/>
    <x v="4"/>
  </r>
  <r>
    <x v="985"/>
    <x v="4"/>
    <x v="1"/>
    <x v="2"/>
    <x v="2"/>
    <x v="4"/>
    <x v="25"/>
    <x v="7"/>
    <x v="338"/>
    <x v="4"/>
    <s v="Tablet"/>
    <x v="0"/>
    <s v="No"/>
    <x v="3"/>
  </r>
  <r>
    <x v="986"/>
    <x v="7"/>
    <x v="1"/>
    <x v="2"/>
    <x v="0"/>
    <x v="0"/>
    <x v="11"/>
    <x v="6"/>
    <x v="832"/>
    <x v="0"/>
    <s v="TV"/>
    <x v="1"/>
    <s v="No"/>
    <x v="1"/>
  </r>
  <r>
    <x v="987"/>
    <x v="0"/>
    <x v="2"/>
    <x v="2"/>
    <x v="0"/>
    <x v="0"/>
    <x v="24"/>
    <x v="2"/>
    <x v="592"/>
    <x v="0"/>
    <s v="Laptop"/>
    <x v="0"/>
    <s v="No"/>
    <x v="0"/>
  </r>
  <r>
    <x v="988"/>
    <x v="8"/>
    <x v="2"/>
    <x v="1"/>
    <x v="0"/>
    <x v="5"/>
    <x v="6"/>
    <x v="5"/>
    <x v="833"/>
    <x v="0"/>
    <s v="Laptop"/>
    <x v="1"/>
    <s v="No"/>
    <x v="4"/>
  </r>
  <r>
    <x v="989"/>
    <x v="18"/>
    <x v="1"/>
    <x v="2"/>
    <x v="1"/>
    <x v="4"/>
    <x v="17"/>
    <x v="5"/>
    <x v="834"/>
    <x v="7"/>
    <s v="Tablet"/>
    <x v="1"/>
    <s v="Yes"/>
    <x v="1"/>
  </r>
  <r>
    <x v="990"/>
    <x v="14"/>
    <x v="2"/>
    <x v="2"/>
    <x v="2"/>
    <x v="5"/>
    <x v="17"/>
    <x v="7"/>
    <x v="835"/>
    <x v="0"/>
    <s v="TV"/>
    <x v="1"/>
    <s v="Yes"/>
    <x v="3"/>
  </r>
  <r>
    <x v="991"/>
    <x v="7"/>
    <x v="2"/>
    <x v="0"/>
    <x v="0"/>
    <x v="2"/>
    <x v="13"/>
    <x v="5"/>
    <x v="794"/>
    <x v="0"/>
    <s v="Laptop"/>
    <x v="1"/>
    <s v="Yes"/>
    <x v="4"/>
  </r>
  <r>
    <x v="992"/>
    <x v="7"/>
    <x v="0"/>
    <x v="0"/>
    <x v="1"/>
    <x v="3"/>
    <x v="1"/>
    <x v="3"/>
    <x v="731"/>
    <x v="3"/>
    <s v="Tablet"/>
    <x v="0"/>
    <s v="No"/>
    <x v="1"/>
  </r>
  <r>
    <x v="993"/>
    <x v="11"/>
    <x v="1"/>
    <x v="1"/>
    <x v="1"/>
    <x v="1"/>
    <x v="13"/>
    <x v="4"/>
    <x v="836"/>
    <x v="2"/>
    <s v="Mobile"/>
    <x v="0"/>
    <s v="No"/>
    <x v="4"/>
  </r>
  <r>
    <x v="994"/>
    <x v="20"/>
    <x v="0"/>
    <x v="1"/>
    <x v="1"/>
    <x v="0"/>
    <x v="23"/>
    <x v="0"/>
    <x v="837"/>
    <x v="7"/>
    <s v="Mobile"/>
    <x v="0"/>
    <s v="Yes"/>
    <x v="2"/>
  </r>
  <r>
    <x v="995"/>
    <x v="18"/>
    <x v="2"/>
    <x v="1"/>
    <x v="1"/>
    <x v="0"/>
    <x v="25"/>
    <x v="0"/>
    <x v="838"/>
    <x v="7"/>
    <s v="Mobile"/>
    <x v="1"/>
    <s v="Yes"/>
    <x v="0"/>
  </r>
  <r>
    <x v="996"/>
    <x v="4"/>
    <x v="0"/>
    <x v="2"/>
    <x v="1"/>
    <x v="0"/>
    <x v="15"/>
    <x v="6"/>
    <x v="839"/>
    <x v="3"/>
    <s v="Laptop"/>
    <x v="0"/>
    <s v="No"/>
    <x v="0"/>
  </r>
  <r>
    <x v="997"/>
    <x v="22"/>
    <x v="2"/>
    <x v="0"/>
    <x v="2"/>
    <x v="1"/>
    <x v="22"/>
    <x v="4"/>
    <x v="840"/>
    <x v="2"/>
    <s v="Laptop"/>
    <x v="0"/>
    <s v="Yes"/>
    <x v="0"/>
  </r>
  <r>
    <x v="998"/>
    <x v="15"/>
    <x v="2"/>
    <x v="0"/>
    <x v="2"/>
    <x v="5"/>
    <x v="9"/>
    <x v="3"/>
    <x v="841"/>
    <x v="4"/>
    <s v="Mobile"/>
    <x v="1"/>
    <s v="No"/>
    <x v="2"/>
  </r>
  <r>
    <x v="999"/>
    <x v="9"/>
    <x v="0"/>
    <x v="2"/>
    <x v="2"/>
    <x v="4"/>
    <x v="16"/>
    <x v="2"/>
    <x v="842"/>
    <x v="2"/>
    <s v="Laptop"/>
    <x v="1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</r>
  <r>
    <x v="1"/>
  </r>
  <r>
    <x v="2"/>
  </r>
  <r>
    <x v="3"/>
  </r>
  <r>
    <x v="4"/>
  </r>
  <r>
    <x v="5"/>
  </r>
  <r>
    <x v="6"/>
  </r>
  <r>
    <x v="1"/>
  </r>
  <r>
    <x v="7"/>
  </r>
  <r>
    <x v="8"/>
  </r>
  <r>
    <x v="9"/>
  </r>
  <r>
    <x v="10"/>
  </r>
  <r>
    <x v="11"/>
  </r>
  <r>
    <x v="12"/>
  </r>
  <r>
    <x v="13"/>
  </r>
  <r>
    <x v="7"/>
  </r>
  <r>
    <x v="10"/>
  </r>
  <r>
    <x v="0"/>
  </r>
  <r>
    <x v="14"/>
  </r>
  <r>
    <x v="15"/>
  </r>
  <r>
    <x v="1"/>
  </r>
  <r>
    <x v="1"/>
  </r>
  <r>
    <x v="10"/>
  </r>
  <r>
    <x v="3"/>
  </r>
  <r>
    <x v="16"/>
  </r>
  <r>
    <x v="5"/>
  </r>
  <r>
    <x v="0"/>
  </r>
  <r>
    <x v="17"/>
  </r>
  <r>
    <x v="18"/>
  </r>
  <r>
    <x v="5"/>
  </r>
  <r>
    <x v="15"/>
  </r>
  <r>
    <x v="17"/>
  </r>
  <r>
    <x v="19"/>
  </r>
  <r>
    <x v="19"/>
  </r>
  <r>
    <x v="17"/>
  </r>
  <r>
    <x v="11"/>
  </r>
  <r>
    <x v="20"/>
  </r>
  <r>
    <x v="20"/>
  </r>
  <r>
    <x v="10"/>
  </r>
  <r>
    <x v="14"/>
  </r>
  <r>
    <x v="6"/>
  </r>
  <r>
    <x v="15"/>
  </r>
  <r>
    <x v="12"/>
  </r>
  <r>
    <x v="11"/>
  </r>
  <r>
    <x v="11"/>
  </r>
  <r>
    <x v="13"/>
  </r>
  <r>
    <x v="18"/>
  </r>
  <r>
    <x v="21"/>
  </r>
  <r>
    <x v="1"/>
  </r>
  <r>
    <x v="14"/>
  </r>
  <r>
    <x v="22"/>
  </r>
  <r>
    <x v="21"/>
  </r>
  <r>
    <x v="3"/>
  </r>
  <r>
    <x v="0"/>
  </r>
  <r>
    <x v="9"/>
  </r>
  <r>
    <x v="23"/>
  </r>
  <r>
    <x v="14"/>
  </r>
  <r>
    <x v="14"/>
  </r>
  <r>
    <x v="24"/>
  </r>
  <r>
    <x v="9"/>
  </r>
  <r>
    <x v="25"/>
  </r>
  <r>
    <x v="18"/>
  </r>
  <r>
    <x v="16"/>
  </r>
  <r>
    <x v="7"/>
  </r>
  <r>
    <x v="21"/>
  </r>
  <r>
    <x v="7"/>
  </r>
  <r>
    <x v="13"/>
  </r>
  <r>
    <x v="8"/>
  </r>
  <r>
    <x v="16"/>
  </r>
  <r>
    <x v="14"/>
  </r>
  <r>
    <x v="21"/>
  </r>
  <r>
    <x v="2"/>
  </r>
  <r>
    <x v="12"/>
  </r>
  <r>
    <x v="24"/>
  </r>
  <r>
    <x v="25"/>
  </r>
  <r>
    <x v="2"/>
  </r>
  <r>
    <x v="3"/>
  </r>
  <r>
    <x v="24"/>
  </r>
  <r>
    <x v="16"/>
  </r>
  <r>
    <x v="10"/>
  </r>
  <r>
    <x v="23"/>
  </r>
  <r>
    <x v="17"/>
  </r>
  <r>
    <x v="25"/>
  </r>
  <r>
    <x v="10"/>
  </r>
  <r>
    <x v="24"/>
  </r>
  <r>
    <x v="21"/>
  </r>
  <r>
    <x v="21"/>
  </r>
  <r>
    <x v="12"/>
  </r>
  <r>
    <x v="17"/>
  </r>
  <r>
    <x v="5"/>
  </r>
  <r>
    <x v="12"/>
  </r>
  <r>
    <x v="9"/>
  </r>
  <r>
    <x v="14"/>
  </r>
  <r>
    <x v="23"/>
  </r>
  <r>
    <x v="0"/>
  </r>
  <r>
    <x v="0"/>
  </r>
  <r>
    <x v="22"/>
  </r>
  <r>
    <x v="11"/>
  </r>
  <r>
    <x v="5"/>
  </r>
  <r>
    <x v="24"/>
  </r>
  <r>
    <x v="23"/>
  </r>
  <r>
    <x v="8"/>
  </r>
  <r>
    <x v="15"/>
  </r>
  <r>
    <x v="24"/>
  </r>
  <r>
    <x v="4"/>
  </r>
  <r>
    <x v="5"/>
  </r>
  <r>
    <x v="23"/>
  </r>
  <r>
    <x v="25"/>
  </r>
  <r>
    <x v="9"/>
  </r>
  <r>
    <x v="8"/>
  </r>
  <r>
    <x v="1"/>
  </r>
  <r>
    <x v="17"/>
  </r>
  <r>
    <x v="25"/>
  </r>
  <r>
    <x v="24"/>
  </r>
  <r>
    <x v="25"/>
  </r>
  <r>
    <x v="13"/>
  </r>
  <r>
    <x v="0"/>
  </r>
  <r>
    <x v="21"/>
  </r>
  <r>
    <x v="21"/>
  </r>
  <r>
    <x v="6"/>
  </r>
  <r>
    <x v="8"/>
  </r>
  <r>
    <x v="10"/>
  </r>
  <r>
    <x v="0"/>
  </r>
  <r>
    <x v="6"/>
  </r>
  <r>
    <x v="22"/>
  </r>
  <r>
    <x v="8"/>
  </r>
  <r>
    <x v="25"/>
  </r>
  <r>
    <x v="14"/>
  </r>
  <r>
    <x v="1"/>
  </r>
  <r>
    <x v="19"/>
  </r>
  <r>
    <x v="10"/>
  </r>
  <r>
    <x v="17"/>
  </r>
  <r>
    <x v="8"/>
  </r>
  <r>
    <x v="6"/>
  </r>
  <r>
    <x v="3"/>
  </r>
  <r>
    <x v="17"/>
  </r>
  <r>
    <x v="9"/>
  </r>
  <r>
    <x v="2"/>
  </r>
  <r>
    <x v="17"/>
  </r>
  <r>
    <x v="9"/>
  </r>
  <r>
    <x v="20"/>
  </r>
  <r>
    <x v="2"/>
  </r>
  <r>
    <x v="22"/>
  </r>
  <r>
    <x v="4"/>
  </r>
  <r>
    <x v="21"/>
  </r>
  <r>
    <x v="10"/>
  </r>
  <r>
    <x v="8"/>
  </r>
  <r>
    <x v="2"/>
  </r>
  <r>
    <x v="7"/>
  </r>
  <r>
    <x v="20"/>
  </r>
  <r>
    <x v="6"/>
  </r>
  <r>
    <x v="2"/>
  </r>
  <r>
    <x v="6"/>
  </r>
  <r>
    <x v="12"/>
  </r>
  <r>
    <x v="15"/>
  </r>
  <r>
    <x v="1"/>
  </r>
  <r>
    <x v="14"/>
  </r>
  <r>
    <x v="25"/>
  </r>
  <r>
    <x v="4"/>
  </r>
  <r>
    <x v="6"/>
  </r>
  <r>
    <x v="17"/>
  </r>
  <r>
    <x v="22"/>
  </r>
  <r>
    <x v="17"/>
  </r>
  <r>
    <x v="16"/>
  </r>
  <r>
    <x v="22"/>
  </r>
  <r>
    <x v="23"/>
  </r>
  <r>
    <x v="24"/>
  </r>
  <r>
    <x v="11"/>
  </r>
  <r>
    <x v="14"/>
  </r>
  <r>
    <x v="15"/>
  </r>
  <r>
    <x v="13"/>
  </r>
  <r>
    <x v="0"/>
  </r>
  <r>
    <x v="2"/>
  </r>
  <r>
    <x v="11"/>
  </r>
  <r>
    <x v="15"/>
  </r>
  <r>
    <x v="7"/>
  </r>
  <r>
    <x v="19"/>
  </r>
  <r>
    <x v="16"/>
  </r>
  <r>
    <x v="12"/>
  </r>
  <r>
    <x v="0"/>
  </r>
  <r>
    <x v="8"/>
  </r>
  <r>
    <x v="24"/>
  </r>
  <r>
    <x v="22"/>
  </r>
  <r>
    <x v="17"/>
  </r>
  <r>
    <x v="20"/>
  </r>
  <r>
    <x v="9"/>
  </r>
  <r>
    <x v="7"/>
  </r>
  <r>
    <x v="14"/>
  </r>
  <r>
    <x v="4"/>
  </r>
  <r>
    <x v="7"/>
  </r>
  <r>
    <x v="10"/>
  </r>
  <r>
    <x v="22"/>
  </r>
  <r>
    <x v="14"/>
  </r>
  <r>
    <x v="11"/>
  </r>
  <r>
    <x v="1"/>
  </r>
  <r>
    <x v="14"/>
  </r>
  <r>
    <x v="19"/>
  </r>
  <r>
    <x v="17"/>
  </r>
  <r>
    <x v="16"/>
  </r>
  <r>
    <x v="9"/>
  </r>
  <r>
    <x v="20"/>
  </r>
  <r>
    <x v="23"/>
  </r>
  <r>
    <x v="0"/>
  </r>
  <r>
    <x v="16"/>
  </r>
  <r>
    <x v="7"/>
  </r>
  <r>
    <x v="17"/>
  </r>
  <r>
    <x v="18"/>
  </r>
  <r>
    <x v="12"/>
  </r>
  <r>
    <x v="12"/>
  </r>
  <r>
    <x v="16"/>
  </r>
  <r>
    <x v="8"/>
  </r>
  <r>
    <x v="12"/>
  </r>
  <r>
    <x v="7"/>
  </r>
  <r>
    <x v="10"/>
  </r>
  <r>
    <x v="19"/>
  </r>
  <r>
    <x v="13"/>
  </r>
  <r>
    <x v="3"/>
  </r>
  <r>
    <x v="19"/>
  </r>
  <r>
    <x v="2"/>
  </r>
  <r>
    <x v="4"/>
  </r>
  <r>
    <x v="22"/>
  </r>
  <r>
    <x v="19"/>
  </r>
  <r>
    <x v="21"/>
  </r>
  <r>
    <x v="5"/>
  </r>
  <r>
    <x v="4"/>
  </r>
  <r>
    <x v="7"/>
  </r>
  <r>
    <x v="21"/>
  </r>
  <r>
    <x v="1"/>
  </r>
  <r>
    <x v="24"/>
  </r>
  <r>
    <x v="0"/>
  </r>
  <r>
    <x v="6"/>
  </r>
  <r>
    <x v="18"/>
  </r>
  <r>
    <x v="25"/>
  </r>
  <r>
    <x v="9"/>
  </r>
  <r>
    <x v="0"/>
  </r>
  <r>
    <x v="15"/>
  </r>
  <r>
    <x v="5"/>
  </r>
  <r>
    <x v="17"/>
  </r>
  <r>
    <x v="6"/>
  </r>
  <r>
    <x v="11"/>
  </r>
  <r>
    <x v="23"/>
  </r>
  <r>
    <x v="6"/>
  </r>
  <r>
    <x v="19"/>
  </r>
  <r>
    <x v="6"/>
  </r>
  <r>
    <x v="11"/>
  </r>
  <r>
    <x v="5"/>
  </r>
  <r>
    <x v="9"/>
  </r>
  <r>
    <x v="9"/>
  </r>
  <r>
    <x v="13"/>
  </r>
  <r>
    <x v="0"/>
  </r>
  <r>
    <x v="20"/>
  </r>
  <r>
    <x v="17"/>
  </r>
  <r>
    <x v="4"/>
  </r>
  <r>
    <x v="17"/>
  </r>
  <r>
    <x v="8"/>
  </r>
  <r>
    <x v="12"/>
  </r>
  <r>
    <x v="23"/>
  </r>
  <r>
    <x v="17"/>
  </r>
  <r>
    <x v="19"/>
  </r>
  <r>
    <x v="24"/>
  </r>
  <r>
    <x v="14"/>
  </r>
  <r>
    <x v="7"/>
  </r>
  <r>
    <x v="17"/>
  </r>
  <r>
    <x v="8"/>
  </r>
  <r>
    <x v="15"/>
  </r>
  <r>
    <x v="25"/>
  </r>
  <r>
    <x v="0"/>
  </r>
  <r>
    <x v="14"/>
  </r>
  <r>
    <x v="9"/>
  </r>
  <r>
    <x v="16"/>
  </r>
  <r>
    <x v="15"/>
  </r>
  <r>
    <x v="20"/>
  </r>
  <r>
    <x v="20"/>
  </r>
  <r>
    <x v="15"/>
  </r>
  <r>
    <x v="3"/>
  </r>
  <r>
    <x v="14"/>
  </r>
  <r>
    <x v="11"/>
  </r>
  <r>
    <x v="23"/>
  </r>
  <r>
    <x v="11"/>
  </r>
  <r>
    <x v="22"/>
  </r>
  <r>
    <x v="2"/>
  </r>
  <r>
    <x v="9"/>
  </r>
  <r>
    <x v="9"/>
  </r>
  <r>
    <x v="14"/>
  </r>
  <r>
    <x v="20"/>
  </r>
  <r>
    <x v="13"/>
  </r>
  <r>
    <x v="3"/>
  </r>
  <r>
    <x v="1"/>
  </r>
  <r>
    <x v="16"/>
  </r>
  <r>
    <x v="0"/>
  </r>
  <r>
    <x v="22"/>
  </r>
  <r>
    <x v="19"/>
  </r>
  <r>
    <x v="20"/>
  </r>
  <r>
    <x v="16"/>
  </r>
  <r>
    <x v="15"/>
  </r>
  <r>
    <x v="4"/>
  </r>
  <r>
    <x v="8"/>
  </r>
  <r>
    <x v="6"/>
  </r>
  <r>
    <x v="11"/>
  </r>
  <r>
    <x v="23"/>
  </r>
  <r>
    <x v="24"/>
  </r>
  <r>
    <x v="12"/>
  </r>
  <r>
    <x v="2"/>
  </r>
  <r>
    <x v="24"/>
  </r>
  <r>
    <x v="17"/>
  </r>
  <r>
    <x v="8"/>
  </r>
  <r>
    <x v="19"/>
  </r>
  <r>
    <x v="22"/>
  </r>
  <r>
    <x v="10"/>
  </r>
  <r>
    <x v="16"/>
  </r>
  <r>
    <x v="22"/>
  </r>
  <r>
    <x v="14"/>
  </r>
  <r>
    <x v="21"/>
  </r>
  <r>
    <x v="8"/>
  </r>
  <r>
    <x v="25"/>
  </r>
  <r>
    <x v="20"/>
  </r>
  <r>
    <x v="12"/>
  </r>
  <r>
    <x v="16"/>
  </r>
  <r>
    <x v="8"/>
  </r>
  <r>
    <x v="21"/>
  </r>
  <r>
    <x v="0"/>
  </r>
  <r>
    <x v="8"/>
  </r>
  <r>
    <x v="0"/>
  </r>
  <r>
    <x v="7"/>
  </r>
  <r>
    <x v="4"/>
  </r>
  <r>
    <x v="0"/>
  </r>
  <r>
    <x v="22"/>
  </r>
  <r>
    <x v="16"/>
  </r>
  <r>
    <x v="0"/>
  </r>
  <r>
    <x v="23"/>
  </r>
  <r>
    <x v="22"/>
  </r>
  <r>
    <x v="23"/>
  </r>
  <r>
    <x v="14"/>
  </r>
  <r>
    <x v="18"/>
  </r>
  <r>
    <x v="5"/>
  </r>
  <r>
    <x v="14"/>
  </r>
  <r>
    <x v="2"/>
  </r>
  <r>
    <x v="2"/>
  </r>
  <r>
    <x v="10"/>
  </r>
  <r>
    <x v="3"/>
  </r>
  <r>
    <x v="15"/>
  </r>
  <r>
    <x v="2"/>
  </r>
  <r>
    <x v="21"/>
  </r>
  <r>
    <x v="17"/>
  </r>
  <r>
    <x v="17"/>
  </r>
  <r>
    <x v="16"/>
  </r>
  <r>
    <x v="7"/>
  </r>
  <r>
    <x v="17"/>
  </r>
  <r>
    <x v="8"/>
  </r>
  <r>
    <x v="14"/>
  </r>
  <r>
    <x v="11"/>
  </r>
  <r>
    <x v="6"/>
  </r>
  <r>
    <x v="10"/>
  </r>
  <r>
    <x v="12"/>
  </r>
  <r>
    <x v="4"/>
  </r>
  <r>
    <x v="7"/>
  </r>
  <r>
    <x v="22"/>
  </r>
  <r>
    <x v="15"/>
  </r>
  <r>
    <x v="14"/>
  </r>
  <r>
    <x v="18"/>
  </r>
  <r>
    <x v="10"/>
  </r>
  <r>
    <x v="7"/>
  </r>
  <r>
    <x v="6"/>
  </r>
  <r>
    <x v="21"/>
  </r>
  <r>
    <x v="9"/>
  </r>
  <r>
    <x v="23"/>
  </r>
  <r>
    <x v="18"/>
  </r>
  <r>
    <x v="16"/>
  </r>
  <r>
    <x v="22"/>
  </r>
  <r>
    <x v="14"/>
  </r>
  <r>
    <x v="17"/>
  </r>
  <r>
    <x v="21"/>
  </r>
  <r>
    <x v="18"/>
  </r>
  <r>
    <x v="3"/>
  </r>
  <r>
    <x v="25"/>
  </r>
  <r>
    <x v="19"/>
  </r>
  <r>
    <x v="23"/>
  </r>
  <r>
    <x v="21"/>
  </r>
  <r>
    <x v="23"/>
  </r>
  <r>
    <x v="20"/>
  </r>
  <r>
    <x v="19"/>
  </r>
  <r>
    <x v="10"/>
  </r>
  <r>
    <x v="6"/>
  </r>
  <r>
    <x v="15"/>
  </r>
  <r>
    <x v="22"/>
  </r>
  <r>
    <x v="6"/>
  </r>
  <r>
    <x v="3"/>
  </r>
  <r>
    <x v="1"/>
  </r>
  <r>
    <x v="18"/>
  </r>
  <r>
    <x v="7"/>
  </r>
  <r>
    <x v="25"/>
  </r>
  <r>
    <x v="24"/>
  </r>
  <r>
    <x v="16"/>
  </r>
  <r>
    <x v="4"/>
  </r>
  <r>
    <x v="1"/>
  </r>
  <r>
    <x v="12"/>
  </r>
  <r>
    <x v="21"/>
  </r>
  <r>
    <x v="17"/>
  </r>
  <r>
    <x v="1"/>
  </r>
  <r>
    <x v="3"/>
  </r>
  <r>
    <x v="25"/>
  </r>
  <r>
    <x v="15"/>
  </r>
  <r>
    <x v="21"/>
  </r>
  <r>
    <x v="19"/>
  </r>
  <r>
    <x v="21"/>
  </r>
  <r>
    <x v="6"/>
  </r>
  <r>
    <x v="11"/>
  </r>
  <r>
    <x v="25"/>
  </r>
  <r>
    <x v="0"/>
  </r>
  <r>
    <x v="16"/>
  </r>
  <r>
    <x v="5"/>
  </r>
  <r>
    <x v="6"/>
  </r>
  <r>
    <x v="19"/>
  </r>
  <r>
    <x v="13"/>
  </r>
  <r>
    <x v="25"/>
  </r>
  <r>
    <x v="1"/>
  </r>
  <r>
    <x v="18"/>
  </r>
  <r>
    <x v="4"/>
  </r>
  <r>
    <x v="4"/>
  </r>
  <r>
    <x v="0"/>
  </r>
  <r>
    <x v="16"/>
  </r>
  <r>
    <x v="5"/>
  </r>
  <r>
    <x v="15"/>
  </r>
  <r>
    <x v="4"/>
  </r>
  <r>
    <x v="11"/>
  </r>
  <r>
    <x v="2"/>
  </r>
  <r>
    <x v="3"/>
  </r>
  <r>
    <x v="10"/>
  </r>
  <r>
    <x v="22"/>
  </r>
  <r>
    <x v="8"/>
  </r>
  <r>
    <x v="5"/>
  </r>
  <r>
    <x v="9"/>
  </r>
  <r>
    <x v="0"/>
  </r>
  <r>
    <x v="24"/>
  </r>
  <r>
    <x v="7"/>
  </r>
  <r>
    <x v="24"/>
  </r>
  <r>
    <x v="1"/>
  </r>
  <r>
    <x v="8"/>
  </r>
  <r>
    <x v="15"/>
  </r>
  <r>
    <x v="12"/>
  </r>
  <r>
    <x v="7"/>
  </r>
  <r>
    <x v="20"/>
  </r>
  <r>
    <x v="10"/>
  </r>
  <r>
    <x v="19"/>
  </r>
  <r>
    <x v="5"/>
  </r>
  <r>
    <x v="22"/>
  </r>
  <r>
    <x v="2"/>
  </r>
  <r>
    <x v="9"/>
  </r>
  <r>
    <x v="15"/>
  </r>
  <r>
    <x v="18"/>
  </r>
  <r>
    <x v="10"/>
  </r>
  <r>
    <x v="5"/>
  </r>
  <r>
    <x v="19"/>
  </r>
  <r>
    <x v="8"/>
  </r>
  <r>
    <x v="2"/>
  </r>
  <r>
    <x v="8"/>
  </r>
  <r>
    <x v="25"/>
  </r>
  <r>
    <x v="2"/>
  </r>
  <r>
    <x v="25"/>
  </r>
  <r>
    <x v="24"/>
  </r>
  <r>
    <x v="3"/>
  </r>
  <r>
    <x v="10"/>
  </r>
  <r>
    <x v="12"/>
  </r>
  <r>
    <x v="0"/>
  </r>
  <r>
    <x v="21"/>
  </r>
  <r>
    <x v="5"/>
  </r>
  <r>
    <x v="21"/>
  </r>
  <r>
    <x v="6"/>
  </r>
  <r>
    <x v="15"/>
  </r>
  <r>
    <x v="3"/>
  </r>
  <r>
    <x v="5"/>
  </r>
  <r>
    <x v="25"/>
  </r>
  <r>
    <x v="11"/>
  </r>
  <r>
    <x v="10"/>
  </r>
  <r>
    <x v="3"/>
  </r>
  <r>
    <x v="14"/>
  </r>
  <r>
    <x v="11"/>
  </r>
  <r>
    <x v="10"/>
  </r>
  <r>
    <x v="11"/>
  </r>
  <r>
    <x v="9"/>
  </r>
  <r>
    <x v="8"/>
  </r>
  <r>
    <x v="11"/>
  </r>
  <r>
    <x v="13"/>
  </r>
  <r>
    <x v="23"/>
  </r>
  <r>
    <x v="10"/>
  </r>
  <r>
    <x v="12"/>
  </r>
  <r>
    <x v="7"/>
  </r>
  <r>
    <x v="7"/>
  </r>
  <r>
    <x v="11"/>
  </r>
  <r>
    <x v="16"/>
  </r>
  <r>
    <x v="12"/>
  </r>
  <r>
    <x v="6"/>
  </r>
  <r>
    <x v="24"/>
  </r>
  <r>
    <x v="21"/>
  </r>
  <r>
    <x v="20"/>
  </r>
  <r>
    <x v="21"/>
  </r>
  <r>
    <x v="0"/>
  </r>
  <r>
    <x v="1"/>
  </r>
  <r>
    <x v="1"/>
  </r>
  <r>
    <x v="13"/>
  </r>
  <r>
    <x v="2"/>
  </r>
  <r>
    <x v="8"/>
  </r>
  <r>
    <x v="18"/>
  </r>
  <r>
    <x v="10"/>
  </r>
  <r>
    <x v="10"/>
  </r>
  <r>
    <x v="4"/>
  </r>
  <r>
    <x v="17"/>
  </r>
  <r>
    <x v="25"/>
  </r>
  <r>
    <x v="13"/>
  </r>
  <r>
    <x v="19"/>
  </r>
  <r>
    <x v="14"/>
  </r>
  <r>
    <x v="22"/>
  </r>
  <r>
    <x v="16"/>
  </r>
  <r>
    <x v="20"/>
  </r>
  <r>
    <x v="19"/>
  </r>
  <r>
    <x v="7"/>
  </r>
  <r>
    <x v="1"/>
  </r>
  <r>
    <x v="22"/>
  </r>
  <r>
    <x v="12"/>
  </r>
  <r>
    <x v="19"/>
  </r>
  <r>
    <x v="12"/>
  </r>
  <r>
    <x v="9"/>
  </r>
  <r>
    <x v="11"/>
  </r>
  <r>
    <x v="16"/>
  </r>
  <r>
    <x v="7"/>
  </r>
  <r>
    <x v="16"/>
  </r>
  <r>
    <x v="14"/>
  </r>
  <r>
    <x v="11"/>
  </r>
  <r>
    <x v="23"/>
  </r>
  <r>
    <x v="24"/>
  </r>
  <r>
    <x v="15"/>
  </r>
  <r>
    <x v="4"/>
  </r>
  <r>
    <x v="0"/>
  </r>
  <r>
    <x v="6"/>
  </r>
  <r>
    <x v="14"/>
  </r>
  <r>
    <x v="7"/>
  </r>
  <r>
    <x v="1"/>
  </r>
  <r>
    <x v="20"/>
  </r>
  <r>
    <x v="0"/>
  </r>
  <r>
    <x v="11"/>
  </r>
  <r>
    <x v="20"/>
  </r>
  <r>
    <x v="1"/>
  </r>
  <r>
    <x v="25"/>
  </r>
  <r>
    <x v="21"/>
  </r>
  <r>
    <x v="8"/>
  </r>
  <r>
    <x v="23"/>
  </r>
  <r>
    <x v="6"/>
  </r>
  <r>
    <x v="16"/>
  </r>
  <r>
    <x v="20"/>
  </r>
  <r>
    <x v="16"/>
  </r>
  <r>
    <x v="7"/>
  </r>
  <r>
    <x v="17"/>
  </r>
  <r>
    <x v="2"/>
  </r>
  <r>
    <x v="0"/>
  </r>
  <r>
    <x v="20"/>
  </r>
  <r>
    <x v="21"/>
  </r>
  <r>
    <x v="5"/>
  </r>
  <r>
    <x v="2"/>
  </r>
  <r>
    <x v="1"/>
  </r>
  <r>
    <x v="16"/>
  </r>
  <r>
    <x v="9"/>
  </r>
  <r>
    <x v="3"/>
  </r>
  <r>
    <x v="7"/>
  </r>
  <r>
    <x v="20"/>
  </r>
  <r>
    <x v="9"/>
  </r>
  <r>
    <x v="23"/>
  </r>
  <r>
    <x v="24"/>
  </r>
  <r>
    <x v="7"/>
  </r>
  <r>
    <x v="23"/>
  </r>
  <r>
    <x v="22"/>
  </r>
  <r>
    <x v="24"/>
  </r>
  <r>
    <x v="10"/>
  </r>
  <r>
    <x v="22"/>
  </r>
  <r>
    <x v="20"/>
  </r>
  <r>
    <x v="0"/>
  </r>
  <r>
    <x v="13"/>
  </r>
  <r>
    <x v="20"/>
  </r>
  <r>
    <x v="0"/>
  </r>
  <r>
    <x v="5"/>
  </r>
  <r>
    <x v="21"/>
  </r>
  <r>
    <x v="2"/>
  </r>
  <r>
    <x v="0"/>
  </r>
  <r>
    <x v="23"/>
  </r>
  <r>
    <x v="1"/>
  </r>
  <r>
    <x v="8"/>
  </r>
  <r>
    <x v="3"/>
  </r>
  <r>
    <x v="3"/>
  </r>
  <r>
    <x v="6"/>
  </r>
  <r>
    <x v="13"/>
  </r>
  <r>
    <x v="10"/>
  </r>
  <r>
    <x v="16"/>
  </r>
  <r>
    <x v="2"/>
  </r>
  <r>
    <x v="23"/>
  </r>
  <r>
    <x v="5"/>
  </r>
  <r>
    <x v="22"/>
  </r>
  <r>
    <x v="18"/>
  </r>
  <r>
    <x v="16"/>
  </r>
  <r>
    <x v="3"/>
  </r>
  <r>
    <x v="21"/>
  </r>
  <r>
    <x v="1"/>
  </r>
  <r>
    <x v="3"/>
  </r>
  <r>
    <x v="7"/>
  </r>
  <r>
    <x v="9"/>
  </r>
  <r>
    <x v="22"/>
  </r>
  <r>
    <x v="7"/>
  </r>
  <r>
    <x v="7"/>
  </r>
  <r>
    <x v="22"/>
  </r>
  <r>
    <x v="3"/>
  </r>
  <r>
    <x v="1"/>
  </r>
  <r>
    <x v="22"/>
  </r>
  <r>
    <x v="15"/>
  </r>
  <r>
    <x v="16"/>
  </r>
  <r>
    <x v="4"/>
  </r>
  <r>
    <x v="20"/>
  </r>
  <r>
    <x v="16"/>
  </r>
  <r>
    <x v="23"/>
  </r>
  <r>
    <x v="16"/>
  </r>
  <r>
    <x v="25"/>
  </r>
  <r>
    <x v="2"/>
  </r>
  <r>
    <x v="16"/>
  </r>
  <r>
    <x v="13"/>
  </r>
  <r>
    <x v="2"/>
  </r>
  <r>
    <x v="14"/>
  </r>
  <r>
    <x v="22"/>
  </r>
  <r>
    <x v="4"/>
  </r>
  <r>
    <x v="20"/>
  </r>
  <r>
    <x v="22"/>
  </r>
  <r>
    <x v="2"/>
  </r>
  <r>
    <x v="0"/>
  </r>
  <r>
    <x v="14"/>
  </r>
  <r>
    <x v="18"/>
  </r>
  <r>
    <x v="9"/>
  </r>
  <r>
    <x v="19"/>
  </r>
  <r>
    <x v="13"/>
  </r>
  <r>
    <x v="24"/>
  </r>
  <r>
    <x v="20"/>
  </r>
  <r>
    <x v="20"/>
  </r>
  <r>
    <x v="4"/>
  </r>
  <r>
    <x v="4"/>
  </r>
  <r>
    <x v="2"/>
  </r>
  <r>
    <x v="4"/>
  </r>
  <r>
    <x v="6"/>
  </r>
  <r>
    <x v="8"/>
  </r>
  <r>
    <x v="14"/>
  </r>
  <r>
    <x v="8"/>
  </r>
  <r>
    <x v="18"/>
  </r>
  <r>
    <x v="21"/>
  </r>
  <r>
    <x v="6"/>
  </r>
  <r>
    <x v="9"/>
  </r>
  <r>
    <x v="16"/>
  </r>
  <r>
    <x v="25"/>
  </r>
  <r>
    <x v="5"/>
  </r>
  <r>
    <x v="14"/>
  </r>
  <r>
    <x v="12"/>
  </r>
  <r>
    <x v="25"/>
  </r>
  <r>
    <x v="1"/>
  </r>
  <r>
    <x v="12"/>
  </r>
  <r>
    <x v="24"/>
  </r>
  <r>
    <x v="20"/>
  </r>
  <r>
    <x v="5"/>
  </r>
  <r>
    <x v="16"/>
  </r>
  <r>
    <x v="7"/>
  </r>
  <r>
    <x v="0"/>
  </r>
  <r>
    <x v="21"/>
  </r>
  <r>
    <x v="16"/>
  </r>
  <r>
    <x v="20"/>
  </r>
  <r>
    <x v="10"/>
  </r>
  <r>
    <x v="8"/>
  </r>
  <r>
    <x v="7"/>
  </r>
  <r>
    <x v="13"/>
  </r>
  <r>
    <x v="25"/>
  </r>
  <r>
    <x v="15"/>
  </r>
  <r>
    <x v="15"/>
  </r>
  <r>
    <x v="2"/>
  </r>
  <r>
    <x v="10"/>
  </r>
  <r>
    <x v="3"/>
  </r>
  <r>
    <x v="11"/>
  </r>
  <r>
    <x v="8"/>
  </r>
  <r>
    <x v="0"/>
  </r>
  <r>
    <x v="10"/>
  </r>
  <r>
    <x v="6"/>
  </r>
  <r>
    <x v="4"/>
  </r>
  <r>
    <x v="24"/>
  </r>
  <r>
    <x v="1"/>
  </r>
  <r>
    <x v="9"/>
  </r>
  <r>
    <x v="22"/>
  </r>
  <r>
    <x v="22"/>
  </r>
  <r>
    <x v="0"/>
  </r>
  <r>
    <x v="18"/>
  </r>
  <r>
    <x v="5"/>
  </r>
  <r>
    <x v="21"/>
  </r>
  <r>
    <x v="21"/>
  </r>
  <r>
    <x v="22"/>
  </r>
  <r>
    <x v="17"/>
  </r>
  <r>
    <x v="2"/>
  </r>
  <r>
    <x v="15"/>
  </r>
  <r>
    <x v="10"/>
  </r>
  <r>
    <x v="11"/>
  </r>
  <r>
    <x v="17"/>
  </r>
  <r>
    <x v="3"/>
  </r>
  <r>
    <x v="3"/>
  </r>
  <r>
    <x v="14"/>
  </r>
  <r>
    <x v="13"/>
  </r>
  <r>
    <x v="1"/>
  </r>
  <r>
    <x v="11"/>
  </r>
  <r>
    <x v="23"/>
  </r>
  <r>
    <x v="0"/>
  </r>
  <r>
    <x v="25"/>
  </r>
  <r>
    <x v="0"/>
  </r>
  <r>
    <x v="22"/>
  </r>
  <r>
    <x v="16"/>
  </r>
  <r>
    <x v="14"/>
  </r>
  <r>
    <x v="16"/>
  </r>
  <r>
    <x v="19"/>
  </r>
  <r>
    <x v="1"/>
  </r>
  <r>
    <x v="10"/>
  </r>
  <r>
    <x v="5"/>
  </r>
  <r>
    <x v="13"/>
  </r>
  <r>
    <x v="7"/>
  </r>
  <r>
    <x v="12"/>
  </r>
  <r>
    <x v="9"/>
  </r>
  <r>
    <x v="20"/>
  </r>
  <r>
    <x v="23"/>
  </r>
  <r>
    <x v="8"/>
  </r>
  <r>
    <x v="16"/>
  </r>
  <r>
    <x v="2"/>
  </r>
  <r>
    <x v="10"/>
  </r>
  <r>
    <x v="8"/>
  </r>
  <r>
    <x v="22"/>
  </r>
  <r>
    <x v="24"/>
  </r>
  <r>
    <x v="6"/>
  </r>
  <r>
    <x v="16"/>
  </r>
  <r>
    <x v="4"/>
  </r>
  <r>
    <x v="25"/>
  </r>
  <r>
    <x v="16"/>
  </r>
  <r>
    <x v="7"/>
  </r>
  <r>
    <x v="13"/>
  </r>
  <r>
    <x v="1"/>
  </r>
  <r>
    <x v="3"/>
  </r>
  <r>
    <x v="18"/>
  </r>
  <r>
    <x v="0"/>
  </r>
  <r>
    <x v="0"/>
  </r>
  <r>
    <x v="4"/>
  </r>
  <r>
    <x v="2"/>
  </r>
  <r>
    <x v="12"/>
  </r>
  <r>
    <x v="18"/>
  </r>
  <r>
    <x v="13"/>
  </r>
  <r>
    <x v="6"/>
  </r>
  <r>
    <x v="17"/>
  </r>
  <r>
    <x v="23"/>
  </r>
  <r>
    <x v="4"/>
  </r>
  <r>
    <x v="21"/>
  </r>
  <r>
    <x v="10"/>
  </r>
  <r>
    <x v="16"/>
  </r>
  <r>
    <x v="8"/>
  </r>
  <r>
    <x v="16"/>
  </r>
  <r>
    <x v="19"/>
  </r>
  <r>
    <x v="23"/>
  </r>
  <r>
    <x v="3"/>
  </r>
  <r>
    <x v="20"/>
  </r>
  <r>
    <x v="19"/>
  </r>
  <r>
    <x v="20"/>
  </r>
  <r>
    <x v="10"/>
  </r>
  <r>
    <x v="6"/>
  </r>
  <r>
    <x v="18"/>
  </r>
  <r>
    <x v="1"/>
  </r>
  <r>
    <x v="22"/>
  </r>
  <r>
    <x v="24"/>
  </r>
  <r>
    <x v="22"/>
  </r>
  <r>
    <x v="22"/>
  </r>
  <r>
    <x v="13"/>
  </r>
  <r>
    <x v="7"/>
  </r>
  <r>
    <x v="20"/>
  </r>
  <r>
    <x v="6"/>
  </r>
  <r>
    <x v="14"/>
  </r>
  <r>
    <x v="16"/>
  </r>
  <r>
    <x v="15"/>
  </r>
  <r>
    <x v="13"/>
  </r>
  <r>
    <x v="2"/>
  </r>
  <r>
    <x v="8"/>
  </r>
  <r>
    <x v="25"/>
  </r>
  <r>
    <x v="9"/>
  </r>
  <r>
    <x v="13"/>
  </r>
  <r>
    <x v="9"/>
  </r>
  <r>
    <x v="5"/>
  </r>
  <r>
    <x v="0"/>
  </r>
  <r>
    <x v="6"/>
  </r>
  <r>
    <x v="21"/>
  </r>
  <r>
    <x v="8"/>
  </r>
  <r>
    <x v="21"/>
  </r>
  <r>
    <x v="8"/>
  </r>
  <r>
    <x v="7"/>
  </r>
  <r>
    <x v="11"/>
  </r>
  <r>
    <x v="13"/>
  </r>
  <r>
    <x v="19"/>
  </r>
  <r>
    <x v="6"/>
  </r>
  <r>
    <x v="18"/>
  </r>
  <r>
    <x v="11"/>
  </r>
  <r>
    <x v="10"/>
  </r>
  <r>
    <x v="11"/>
  </r>
  <r>
    <x v="10"/>
  </r>
  <r>
    <x v="24"/>
  </r>
  <r>
    <x v="20"/>
  </r>
  <r>
    <x v="7"/>
  </r>
  <r>
    <x v="3"/>
  </r>
  <r>
    <x v="12"/>
  </r>
  <r>
    <x v="5"/>
  </r>
  <r>
    <x v="18"/>
  </r>
  <r>
    <x v="3"/>
  </r>
  <r>
    <x v="20"/>
  </r>
  <r>
    <x v="19"/>
  </r>
  <r>
    <x v="24"/>
  </r>
  <r>
    <x v="8"/>
  </r>
  <r>
    <x v="7"/>
  </r>
  <r>
    <x v="8"/>
  </r>
  <r>
    <x v="13"/>
  </r>
  <r>
    <x v="14"/>
  </r>
  <r>
    <x v="16"/>
  </r>
  <r>
    <x v="13"/>
  </r>
  <r>
    <x v="5"/>
  </r>
  <r>
    <x v="9"/>
  </r>
  <r>
    <x v="11"/>
  </r>
  <r>
    <x v="6"/>
  </r>
  <r>
    <x v="24"/>
  </r>
  <r>
    <x v="20"/>
  </r>
  <r>
    <x v="10"/>
  </r>
  <r>
    <x v="22"/>
  </r>
  <r>
    <x v="18"/>
  </r>
  <r>
    <x v="19"/>
  </r>
  <r>
    <x v="19"/>
  </r>
  <r>
    <x v="20"/>
  </r>
  <r>
    <x v="7"/>
  </r>
  <r>
    <x v="19"/>
  </r>
  <r>
    <x v="23"/>
  </r>
  <r>
    <x v="25"/>
  </r>
  <r>
    <x v="8"/>
  </r>
  <r>
    <x v="12"/>
  </r>
  <r>
    <x v="23"/>
  </r>
  <r>
    <x v="17"/>
  </r>
  <r>
    <x v="16"/>
  </r>
  <r>
    <x v="0"/>
  </r>
  <r>
    <x v="10"/>
  </r>
  <r>
    <x v="22"/>
  </r>
  <r>
    <x v="4"/>
  </r>
  <r>
    <x v="11"/>
  </r>
  <r>
    <x v="23"/>
  </r>
  <r>
    <x v="5"/>
  </r>
  <r>
    <x v="13"/>
  </r>
  <r>
    <x v="9"/>
  </r>
  <r>
    <x v="8"/>
  </r>
  <r>
    <x v="20"/>
  </r>
  <r>
    <x v="12"/>
  </r>
  <r>
    <x v="19"/>
  </r>
  <r>
    <x v="3"/>
  </r>
  <r>
    <x v="20"/>
  </r>
  <r>
    <x v="0"/>
  </r>
  <r>
    <x v="21"/>
  </r>
  <r>
    <x v="10"/>
  </r>
  <r>
    <x v="21"/>
  </r>
  <r>
    <x v="15"/>
  </r>
  <r>
    <x v="3"/>
  </r>
  <r>
    <x v="8"/>
  </r>
  <r>
    <x v="21"/>
  </r>
  <r>
    <x v="8"/>
  </r>
  <r>
    <x v="3"/>
  </r>
  <r>
    <x v="7"/>
  </r>
  <r>
    <x v="4"/>
  </r>
  <r>
    <x v="1"/>
  </r>
  <r>
    <x v="17"/>
  </r>
  <r>
    <x v="23"/>
  </r>
  <r>
    <x v="19"/>
  </r>
  <r>
    <x v="11"/>
  </r>
  <r>
    <x v="7"/>
  </r>
  <r>
    <x v="8"/>
  </r>
  <r>
    <x v="1"/>
  </r>
  <r>
    <x v="21"/>
  </r>
  <r>
    <x v="5"/>
  </r>
  <r>
    <x v="20"/>
  </r>
  <r>
    <x v="18"/>
  </r>
  <r>
    <x v="14"/>
  </r>
  <r>
    <x v="5"/>
  </r>
  <r>
    <x v="18"/>
  </r>
  <r>
    <x v="16"/>
  </r>
  <r>
    <x v="10"/>
  </r>
  <r>
    <x v="4"/>
  </r>
  <r>
    <x v="24"/>
  </r>
  <r>
    <x v="17"/>
  </r>
  <r>
    <x v="13"/>
  </r>
  <r>
    <x v="4"/>
  </r>
  <r>
    <x v="25"/>
  </r>
  <r>
    <x v="9"/>
  </r>
  <r>
    <x v="18"/>
  </r>
  <r>
    <x v="5"/>
  </r>
  <r>
    <x v="1"/>
  </r>
  <r>
    <x v="20"/>
  </r>
  <r>
    <x v="4"/>
  </r>
  <r>
    <x v="25"/>
  </r>
  <r>
    <x v="18"/>
  </r>
  <r>
    <x v="1"/>
  </r>
  <r>
    <x v="1"/>
  </r>
  <r>
    <x v="16"/>
  </r>
  <r>
    <x v="7"/>
  </r>
  <r>
    <x v="12"/>
  </r>
  <r>
    <x v="0"/>
  </r>
  <r>
    <x v="25"/>
  </r>
  <r>
    <x v="4"/>
  </r>
  <r>
    <x v="8"/>
  </r>
  <r>
    <x v="14"/>
  </r>
  <r>
    <x v="1"/>
  </r>
  <r>
    <x v="24"/>
  </r>
  <r>
    <x v="4"/>
  </r>
  <r>
    <x v="18"/>
  </r>
  <r>
    <x v="20"/>
  </r>
  <r>
    <x v="17"/>
  </r>
  <r>
    <x v="20"/>
  </r>
  <r>
    <x v="7"/>
  </r>
  <r>
    <x v="19"/>
  </r>
  <r>
    <x v="2"/>
  </r>
  <r>
    <x v="24"/>
  </r>
  <r>
    <x v="12"/>
  </r>
  <r>
    <x v="21"/>
  </r>
  <r>
    <x v="23"/>
  </r>
  <r>
    <x v="11"/>
  </r>
  <r>
    <x v="23"/>
  </r>
  <r>
    <x v="0"/>
  </r>
  <r>
    <x v="1"/>
  </r>
  <r>
    <x v="18"/>
  </r>
  <r>
    <x v="15"/>
  </r>
  <r>
    <x v="5"/>
  </r>
  <r>
    <x v="20"/>
  </r>
  <r>
    <x v="19"/>
  </r>
  <r>
    <x v="7"/>
  </r>
  <r>
    <x v="10"/>
  </r>
  <r>
    <x v="24"/>
  </r>
  <r>
    <x v="12"/>
  </r>
  <r>
    <x v="0"/>
  </r>
  <r>
    <x v="8"/>
  </r>
  <r>
    <x v="2"/>
  </r>
  <r>
    <x v="18"/>
  </r>
  <r>
    <x v="22"/>
  </r>
  <r>
    <x v="9"/>
  </r>
  <r>
    <x v="16"/>
  </r>
  <r>
    <x v="21"/>
  </r>
  <r>
    <x v="19"/>
  </r>
  <r>
    <x v="6"/>
  </r>
  <r>
    <x v="23"/>
  </r>
  <r>
    <x v="17"/>
  </r>
  <r>
    <x v="25"/>
  </r>
  <r>
    <x v="3"/>
  </r>
  <r>
    <x v="23"/>
  </r>
  <r>
    <x v="17"/>
  </r>
  <r>
    <x v="21"/>
  </r>
  <r>
    <x v="21"/>
  </r>
  <r>
    <x v="13"/>
  </r>
  <r>
    <x v="17"/>
  </r>
  <r>
    <x v="11"/>
  </r>
  <r>
    <x v="4"/>
  </r>
  <r>
    <x v="23"/>
  </r>
  <r>
    <x v="7"/>
  </r>
  <r>
    <x v="2"/>
  </r>
  <r>
    <x v="14"/>
  </r>
  <r>
    <x v="8"/>
  </r>
  <r>
    <x v="0"/>
  </r>
  <r>
    <x v="12"/>
  </r>
  <r>
    <x v="3"/>
  </r>
  <r>
    <x v="17"/>
  </r>
  <r>
    <x v="4"/>
  </r>
  <r>
    <x v="16"/>
  </r>
  <r>
    <x v="1"/>
  </r>
  <r>
    <x v="21"/>
  </r>
  <r>
    <x v="19"/>
  </r>
  <r>
    <x v="19"/>
  </r>
  <r>
    <x v="24"/>
  </r>
  <r>
    <x v="7"/>
  </r>
  <r>
    <x v="3"/>
  </r>
  <r>
    <x v="2"/>
  </r>
  <r>
    <x v="24"/>
  </r>
  <r>
    <x v="18"/>
  </r>
  <r>
    <x v="17"/>
  </r>
  <r>
    <x v="17"/>
  </r>
  <r>
    <x v="10"/>
  </r>
  <r>
    <x v="24"/>
  </r>
  <r>
    <x v="6"/>
  </r>
  <r>
    <x v="11"/>
  </r>
  <r>
    <x v="25"/>
  </r>
  <r>
    <x v="25"/>
  </r>
  <r>
    <x v="11"/>
  </r>
  <r>
    <x v="24"/>
  </r>
  <r>
    <x v="6"/>
  </r>
  <r>
    <x v="17"/>
  </r>
  <r>
    <x v="17"/>
  </r>
  <r>
    <x v="13"/>
  </r>
  <r>
    <x v="1"/>
  </r>
  <r>
    <x v="13"/>
  </r>
  <r>
    <x v="23"/>
  </r>
  <r>
    <x v="25"/>
  </r>
  <r>
    <x v="15"/>
  </r>
  <r>
    <x v="22"/>
  </r>
  <r>
    <x v="9"/>
  </r>
  <r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F75DA-92FA-4EBA-8C1E-04155EB93C6E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1">
    <pivotField axis="axisRow" dataField="1" showAll="0" sortType="descending">
      <items count="27">
        <item x="18"/>
        <item x="17"/>
        <item x="4"/>
        <item x="0"/>
        <item x="8"/>
        <item x="25"/>
        <item x="1"/>
        <item x="14"/>
        <item x="19"/>
        <item x="13"/>
        <item x="11"/>
        <item x="5"/>
        <item x="16"/>
        <item x="20"/>
        <item x="24"/>
        <item x="23"/>
        <item x="10"/>
        <item x="7"/>
        <item x="21"/>
        <item x="3"/>
        <item x="6"/>
        <item x="22"/>
        <item x="2"/>
        <item x="9"/>
        <item x="1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27">
    <i>
      <x v="12"/>
    </i>
    <i>
      <x v="4"/>
    </i>
    <i>
      <x v="17"/>
    </i>
    <i>
      <x v="3"/>
    </i>
    <i>
      <x v="18"/>
    </i>
    <i>
      <x v="13"/>
    </i>
    <i>
      <x v="16"/>
    </i>
    <i>
      <x v="21"/>
    </i>
    <i>
      <x v="1"/>
    </i>
    <i>
      <x v="6"/>
    </i>
    <i>
      <x v="7"/>
    </i>
    <i>
      <x v="15"/>
    </i>
    <i>
      <x v="20"/>
    </i>
    <i>
      <x v="10"/>
    </i>
    <i>
      <x v="8"/>
    </i>
    <i>
      <x v="14"/>
    </i>
    <i>
      <x v="22"/>
    </i>
    <i>
      <x v="5"/>
    </i>
    <i>
      <x v="2"/>
    </i>
    <i>
      <x v="19"/>
    </i>
    <i>
      <x v="23"/>
    </i>
    <i>
      <x v="24"/>
    </i>
    <i>
      <x v="9"/>
    </i>
    <i>
      <x v="11"/>
    </i>
    <i>
      <x/>
    </i>
    <i>
      <x v="25"/>
    </i>
    <i t="grand">
      <x/>
    </i>
  </rowItems>
  <colItems count="1">
    <i/>
  </colItems>
  <dataFields count="1">
    <dataField name="Count of Weekly_Entertainment_Hou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8E66E-0E68-4BD2-9A44-E6D06825128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J8" firstHeaderRow="1" firstDataRow="2" firstDataCol="1" rowPageCount="1" colPageCount="1"/>
  <pivotFields count="14"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multipleItemSelectionAllowe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9">
        <item x="3"/>
        <item x="4"/>
        <item x="0"/>
        <item x="1"/>
        <item x="6"/>
        <item x="2"/>
        <item x="5"/>
        <item x="7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3" hier="-1"/>
  </pageFields>
  <dataFields count="1">
    <dataField name="Sum of Monthly_Spending_INR" fld="8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5D6B1-3879-44E5-9114-5DEDF3CD5C3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+A3:B28Row Labels">
  <location ref="A3:B30" firstHeaderRow="1" firstDataRow="1" firstDataCol="1"/>
  <pivotFields count="14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>
      <items count="7">
        <item x="2"/>
        <item x="0"/>
        <item x="3"/>
        <item x="1"/>
        <item x="4"/>
        <item x="5"/>
        <item t="default"/>
      </items>
    </pivotField>
    <pivotField axis="axisRow" showAll="0">
      <items count="27">
        <item x="18"/>
        <item x="17"/>
        <item x="4"/>
        <item x="0"/>
        <item x="8"/>
        <item x="25"/>
        <item x="1"/>
        <item x="14"/>
        <item x="19"/>
        <item x="13"/>
        <item x="11"/>
        <item x="5"/>
        <item x="16"/>
        <item x="20"/>
        <item x="24"/>
        <item x="23"/>
        <item x="10"/>
        <item x="7"/>
        <item x="21"/>
        <item x="3"/>
        <item x="6"/>
        <item x="22"/>
        <item x="2"/>
        <item x="9"/>
        <item x="12"/>
        <item x="15"/>
        <item t="default"/>
      </items>
    </pivotField>
    <pivotField showAll="0">
      <items count="9">
        <item x="0"/>
        <item x="2"/>
        <item x="6"/>
        <item x="4"/>
        <item x="5"/>
        <item x="1"/>
        <item x="7"/>
        <item x="3"/>
        <item t="default"/>
      </items>
    </pivotField>
    <pivotField dataField="1" showAll="0">
      <items count="844">
        <item x="271"/>
        <item x="315"/>
        <item x="744"/>
        <item x="665"/>
        <item x="360"/>
        <item x="432"/>
        <item x="433"/>
        <item x="210"/>
        <item x="108"/>
        <item x="606"/>
        <item x="825"/>
        <item x="385"/>
        <item x="789"/>
        <item x="475"/>
        <item x="474"/>
        <item x="783"/>
        <item x="533"/>
        <item x="470"/>
        <item x="196"/>
        <item x="618"/>
        <item x="274"/>
        <item x="643"/>
        <item x="695"/>
        <item x="729"/>
        <item x="635"/>
        <item x="617"/>
        <item x="0"/>
        <item x="51"/>
        <item x="422"/>
        <item x="822"/>
        <item x="799"/>
        <item x="529"/>
        <item x="532"/>
        <item x="246"/>
        <item x="793"/>
        <item x="476"/>
        <item x="679"/>
        <item x="468"/>
        <item x="434"/>
        <item x="361"/>
        <item x="267"/>
        <item x="33"/>
        <item x="723"/>
        <item x="23"/>
        <item x="29"/>
        <item x="795"/>
        <item x="751"/>
        <item x="587"/>
        <item x="159"/>
        <item x="4"/>
        <item x="375"/>
        <item x="317"/>
        <item x="568"/>
        <item x="73"/>
        <item x="393"/>
        <item x="646"/>
        <item x="314"/>
        <item x="442"/>
        <item x="115"/>
        <item x="811"/>
        <item x="820"/>
        <item x="605"/>
        <item x="117"/>
        <item x="461"/>
        <item x="346"/>
        <item x="509"/>
        <item x="380"/>
        <item x="658"/>
        <item x="750"/>
        <item x="510"/>
        <item x="387"/>
        <item x="25"/>
        <item x="212"/>
        <item x="32"/>
        <item x="537"/>
        <item x="655"/>
        <item x="333"/>
        <item x="498"/>
        <item x="67"/>
        <item x="338"/>
        <item x="143"/>
        <item x="65"/>
        <item x="748"/>
        <item x="110"/>
        <item x="249"/>
        <item x="809"/>
        <item x="312"/>
        <item x="745"/>
        <item x="586"/>
        <item x="581"/>
        <item x="225"/>
        <item x="736"/>
        <item x="102"/>
        <item x="823"/>
        <item x="780"/>
        <item x="116"/>
        <item x="256"/>
        <item x="504"/>
        <item x="236"/>
        <item x="747"/>
        <item x="27"/>
        <item x="585"/>
        <item x="207"/>
        <item x="235"/>
        <item x="197"/>
        <item x="17"/>
        <item x="728"/>
        <item x="701"/>
        <item x="184"/>
        <item x="402"/>
        <item x="313"/>
        <item x="738"/>
        <item x="303"/>
        <item x="368"/>
        <item x="485"/>
        <item x="26"/>
        <item x="290"/>
        <item x="786"/>
        <item x="161"/>
        <item x="682"/>
        <item x="600"/>
        <item x="414"/>
        <item x="28"/>
        <item x="496"/>
        <item x="309"/>
        <item x="714"/>
        <item x="508"/>
        <item x="50"/>
        <item x="10"/>
        <item x="536"/>
        <item x="447"/>
        <item x="92"/>
        <item x="356"/>
        <item x="334"/>
        <item x="359"/>
        <item x="237"/>
        <item x="491"/>
        <item x="52"/>
        <item x="559"/>
        <item x="693"/>
        <item x="756"/>
        <item x="663"/>
        <item x="692"/>
        <item x="456"/>
        <item x="109"/>
        <item x="570"/>
        <item x="24"/>
        <item x="528"/>
        <item x="319"/>
        <item x="539"/>
        <item x="591"/>
        <item x="336"/>
        <item x="141"/>
        <item x="460"/>
        <item x="202"/>
        <item x="808"/>
        <item x="415"/>
        <item x="788"/>
        <item x="466"/>
        <item x="253"/>
        <item x="463"/>
        <item x="378"/>
        <item x="390"/>
        <item x="113"/>
        <item x="739"/>
        <item x="96"/>
        <item x="374"/>
        <item x="389"/>
        <item x="388"/>
        <item x="340"/>
        <item x="122"/>
        <item x="384"/>
        <item x="22"/>
        <item x="768"/>
        <item x="730"/>
        <item x="435"/>
        <item x="719"/>
        <item x="640"/>
        <item x="287"/>
        <item x="345"/>
        <item x="149"/>
        <item x="208"/>
        <item x="162"/>
        <item x="644"/>
        <item x="704"/>
        <item x="261"/>
        <item x="629"/>
        <item x="494"/>
        <item x="306"/>
        <item x="445"/>
        <item x="557"/>
        <item x="30"/>
        <item x="286"/>
        <item x="479"/>
        <item x="583"/>
        <item x="11"/>
        <item x="452"/>
        <item x="428"/>
        <item x="351"/>
        <item x="431"/>
        <item x="734"/>
        <item x="222"/>
        <item x="328"/>
        <item x="821"/>
        <item x="505"/>
        <item x="764"/>
        <item x="462"/>
        <item x="654"/>
        <item x="676"/>
        <item x="276"/>
        <item x="18"/>
        <item x="595"/>
        <item x="279"/>
        <item x="424"/>
        <item x="749"/>
        <item x="752"/>
        <item x="840"/>
        <item x="607"/>
        <item x="285"/>
        <item x="798"/>
        <item x="566"/>
        <item x="296"/>
        <item x="803"/>
        <item x="672"/>
        <item x="733"/>
        <item x="178"/>
        <item x="201"/>
        <item x="5"/>
        <item x="651"/>
        <item x="284"/>
        <item x="95"/>
        <item x="238"/>
        <item x="760"/>
        <item x="841"/>
        <item x="706"/>
        <item x="185"/>
        <item x="289"/>
        <item x="642"/>
        <item x="264"/>
        <item x="519"/>
        <item x="400"/>
        <item x="186"/>
        <item x="630"/>
        <item x="215"/>
        <item x="344"/>
        <item x="767"/>
        <item x="104"/>
        <item x="148"/>
        <item x="89"/>
        <item x="718"/>
        <item x="499"/>
        <item x="632"/>
        <item x="200"/>
        <item x="15"/>
        <item x="814"/>
        <item x="1"/>
        <item x="78"/>
        <item x="623"/>
        <item x="339"/>
        <item x="819"/>
        <item x="495"/>
        <item x="140"/>
        <item x="777"/>
        <item x="636"/>
        <item x="16"/>
        <item x="457"/>
        <item x="291"/>
        <item x="503"/>
        <item x="699"/>
        <item x="240"/>
        <item x="394"/>
        <item x="546"/>
        <item x="244"/>
        <item x="561"/>
        <item x="42"/>
        <item x="481"/>
        <item x="497"/>
        <item x="661"/>
        <item x="531"/>
        <item x="771"/>
        <item x="563"/>
        <item x="690"/>
        <item x="707"/>
        <item x="541"/>
        <item x="571"/>
        <item x="770"/>
        <item x="8"/>
        <item x="837"/>
        <item x="781"/>
        <item x="3"/>
        <item x="80"/>
        <item x="265"/>
        <item x="174"/>
        <item x="233"/>
        <item x="231"/>
        <item x="465"/>
        <item x="708"/>
        <item x="206"/>
        <item x="506"/>
        <item x="58"/>
        <item x="68"/>
        <item x="105"/>
        <item x="794"/>
        <item x="560"/>
        <item x="369"/>
        <item x="99"/>
        <item x="727"/>
        <item x="230"/>
        <item x="633"/>
        <item x="165"/>
        <item x="443"/>
        <item x="725"/>
        <item x="740"/>
        <item x="250"/>
        <item x="576"/>
        <item x="696"/>
        <item x="363"/>
        <item x="170"/>
        <item x="427"/>
        <item x="128"/>
        <item x="514"/>
        <item x="410"/>
        <item x="320"/>
        <item x="829"/>
        <item x="75"/>
        <item x="417"/>
        <item x="638"/>
        <item x="21"/>
        <item x="762"/>
        <item x="589"/>
        <item x="85"/>
        <item x="549"/>
        <item x="218"/>
        <item x="188"/>
        <item x="797"/>
        <item x="60"/>
        <item x="805"/>
        <item x="726"/>
        <item x="649"/>
        <item x="621"/>
        <item x="294"/>
        <item x="381"/>
        <item x="243"/>
        <item x="74"/>
        <item x="217"/>
        <item x="608"/>
        <item x="711"/>
        <item x="297"/>
        <item x="163"/>
        <item x="831"/>
        <item x="826"/>
        <item x="535"/>
        <item x="406"/>
        <item x="438"/>
        <item x="379"/>
        <item x="575"/>
        <item x="775"/>
        <item x="449"/>
        <item x="43"/>
        <item x="622"/>
        <item x="619"/>
        <item x="628"/>
        <item x="327"/>
        <item x="404"/>
        <item x="55"/>
        <item x="382"/>
        <item x="828"/>
        <item x="667"/>
        <item x="154"/>
        <item x="653"/>
        <item x="329"/>
        <item x="641"/>
        <item x="260"/>
        <item x="133"/>
        <item x="801"/>
        <item x="408"/>
        <item x="741"/>
        <item x="500"/>
        <item x="832"/>
        <item x="666"/>
        <item x="316"/>
        <item x="112"/>
        <item x="484"/>
        <item x="152"/>
        <item x="458"/>
        <item x="301"/>
        <item x="372"/>
        <item x="467"/>
        <item x="721"/>
        <item x="180"/>
        <item x="779"/>
        <item x="252"/>
        <item x="551"/>
        <item x="757"/>
        <item x="579"/>
        <item x="440"/>
        <item x="450"/>
        <item x="791"/>
        <item x="650"/>
        <item x="195"/>
        <item x="131"/>
        <item x="257"/>
        <item x="668"/>
        <item x="323"/>
        <item x="86"/>
        <item x="192"/>
        <item x="376"/>
        <item x="97"/>
        <item x="755"/>
        <item x="241"/>
        <item x="507"/>
        <item x="436"/>
        <item x="742"/>
        <item x="613"/>
        <item x="521"/>
        <item x="354"/>
        <item x="574"/>
        <item x="259"/>
        <item x="127"/>
        <item x="614"/>
        <item x="330"/>
        <item x="365"/>
        <item x="567"/>
        <item x="398"/>
        <item x="371"/>
        <item x="205"/>
        <item x="187"/>
        <item x="766"/>
        <item x="620"/>
        <item x="753"/>
        <item x="239"/>
        <item x="142"/>
        <item x="280"/>
        <item x="292"/>
        <item x="46"/>
        <item x="543"/>
        <item x="710"/>
        <item x="45"/>
        <item x="482"/>
        <item x="800"/>
        <item x="182"/>
        <item x="155"/>
        <item x="735"/>
        <item x="720"/>
        <item x="538"/>
        <item x="269"/>
        <item x="572"/>
        <item x="242"/>
        <item x="101"/>
        <item x="14"/>
        <item x="308"/>
        <item x="157"/>
        <item x="20"/>
        <item x="758"/>
        <item x="98"/>
        <item x="550"/>
        <item x="611"/>
        <item x="72"/>
        <item x="57"/>
        <item x="761"/>
        <item x="364"/>
        <item x="146"/>
        <item x="83"/>
        <item x="437"/>
        <item x="603"/>
        <item x="522"/>
        <item x="401"/>
        <item x="63"/>
        <item x="324"/>
        <item x="596"/>
        <item x="594"/>
        <item x="209"/>
        <item x="2"/>
        <item x="121"/>
        <item x="634"/>
        <item x="464"/>
        <item x="138"/>
        <item x="219"/>
        <item x="478"/>
        <item x="326"/>
        <item x="220"/>
        <item x="412"/>
        <item x="754"/>
        <item x="480"/>
        <item x="204"/>
        <item x="53"/>
        <item x="411"/>
        <item x="592"/>
        <item x="70"/>
        <item x="556"/>
        <item x="396"/>
        <item x="815"/>
        <item x="602"/>
        <item x="136"/>
        <item x="472"/>
        <item x="518"/>
        <item x="542"/>
        <item x="512"/>
        <item x="685"/>
        <item x="459"/>
        <item x="520"/>
        <item x="405"/>
        <item x="673"/>
        <item x="213"/>
        <item x="126"/>
        <item x="255"/>
        <item x="833"/>
        <item x="48"/>
        <item x="659"/>
        <item x="134"/>
        <item x="418"/>
        <item x="198"/>
        <item x="234"/>
        <item x="716"/>
        <item x="183"/>
        <item x="785"/>
        <item x="524"/>
        <item x="675"/>
        <item x="251"/>
        <item x="41"/>
        <item x="175"/>
        <item x="153"/>
        <item x="687"/>
        <item x="578"/>
        <item x="31"/>
        <item x="573"/>
        <item x="248"/>
        <item x="169"/>
        <item x="501"/>
        <item x="698"/>
        <item x="657"/>
        <item x="39"/>
        <item x="199"/>
        <item x="473"/>
        <item x="423"/>
        <item x="355"/>
        <item x="176"/>
        <item x="352"/>
        <item x="407"/>
        <item x="59"/>
        <item x="224"/>
        <item x="471"/>
        <item x="282"/>
        <item x="722"/>
        <item x="818"/>
        <item x="599"/>
        <item x="455"/>
        <item x="12"/>
        <item x="615"/>
        <item x="486"/>
        <item x="93"/>
        <item x="677"/>
        <item x="584"/>
        <item x="564"/>
        <item x="62"/>
        <item x="717"/>
        <item x="712"/>
        <item x="273"/>
        <item x="743"/>
        <item x="226"/>
        <item x="71"/>
        <item x="311"/>
        <item x="304"/>
        <item x="399"/>
        <item x="580"/>
        <item x="367"/>
        <item x="517"/>
        <item x="631"/>
        <item x="349"/>
        <item x="370"/>
        <item x="300"/>
        <item x="588"/>
        <item x="302"/>
        <item x="612"/>
        <item x="838"/>
        <item x="343"/>
        <item x="812"/>
        <item x="76"/>
        <item x="305"/>
        <item x="107"/>
        <item x="552"/>
        <item x="604"/>
        <item x="792"/>
        <item x="610"/>
        <item x="830"/>
        <item x="839"/>
        <item x="684"/>
        <item x="705"/>
        <item x="713"/>
        <item x="171"/>
        <item x="523"/>
        <item x="569"/>
        <item x="776"/>
        <item x="778"/>
        <item x="177"/>
        <item x="106"/>
        <item x="88"/>
        <item x="299"/>
        <item x="229"/>
        <item x="13"/>
        <item x="124"/>
        <item x="670"/>
        <item x="656"/>
        <item x="223"/>
        <item x="331"/>
        <item x="547"/>
        <item x="77"/>
        <item x="702"/>
        <item x="451"/>
        <item x="765"/>
        <item x="44"/>
        <item x="759"/>
        <item x="810"/>
        <item x="129"/>
        <item x="441"/>
        <item x="258"/>
        <item x="19"/>
        <item x="262"/>
        <item x="817"/>
        <item x="342"/>
        <item x="731"/>
        <item x="397"/>
        <item x="627"/>
        <item x="358"/>
        <item x="119"/>
        <item x="293"/>
        <item x="395"/>
        <item x="179"/>
        <item x="270"/>
        <item x="802"/>
        <item x="516"/>
        <item x="193"/>
        <item x="737"/>
        <item x="834"/>
        <item x="409"/>
        <item x="281"/>
        <item x="247"/>
        <item x="7"/>
        <item x="582"/>
        <item x="194"/>
        <item x="548"/>
        <item x="836"/>
        <item x="373"/>
        <item x="277"/>
        <item x="426"/>
        <item x="145"/>
        <item x="337"/>
        <item x="502"/>
        <item x="61"/>
        <item x="703"/>
        <item x="150"/>
        <item x="691"/>
        <item x="680"/>
        <item x="87"/>
        <item x="37"/>
        <item x="295"/>
        <item x="648"/>
        <item x="232"/>
        <item x="545"/>
        <item x="782"/>
        <item x="626"/>
        <item x="357"/>
        <item x="683"/>
        <item x="190"/>
        <item x="147"/>
        <item x="228"/>
        <item x="534"/>
        <item x="278"/>
        <item x="79"/>
        <item x="544"/>
        <item x="54"/>
        <item x="493"/>
        <item x="413"/>
        <item x="774"/>
        <item x="763"/>
        <item x="555"/>
        <item x="565"/>
        <item x="137"/>
        <item x="325"/>
        <item x="709"/>
        <item x="590"/>
        <item x="125"/>
        <item x="597"/>
        <item x="318"/>
        <item x="686"/>
        <item x="813"/>
        <item x="674"/>
        <item x="118"/>
        <item x="158"/>
        <item x="489"/>
        <item x="732"/>
        <item x="275"/>
        <item x="203"/>
        <item x="553"/>
        <item x="353"/>
        <item x="168"/>
        <item x="671"/>
        <item x="160"/>
        <item x="425"/>
        <item x="221"/>
        <item x="81"/>
        <item x="111"/>
        <item x="639"/>
        <item x="625"/>
        <item x="64"/>
        <item x="540"/>
        <item x="787"/>
        <item x="130"/>
        <item x="469"/>
        <item x="616"/>
        <item x="9"/>
        <item x="842"/>
        <item x="715"/>
        <item x="492"/>
        <item x="298"/>
        <item x="366"/>
        <item x="769"/>
        <item x="132"/>
        <item x="624"/>
        <item x="577"/>
        <item x="254"/>
        <item x="139"/>
        <item x="84"/>
        <item x="526"/>
        <item x="383"/>
        <item x="341"/>
        <item x="114"/>
        <item x="647"/>
        <item x="181"/>
        <item x="189"/>
        <item x="135"/>
        <item x="307"/>
        <item x="288"/>
        <item x="91"/>
        <item x="477"/>
        <item x="347"/>
        <item x="377"/>
        <item x="49"/>
        <item x="697"/>
        <item x="824"/>
        <item x="700"/>
        <item x="348"/>
        <item x="227"/>
        <item x="488"/>
        <item x="681"/>
        <item x="784"/>
        <item x="827"/>
        <item x="816"/>
        <item x="362"/>
        <item x="662"/>
        <item x="558"/>
        <item x="669"/>
        <item x="652"/>
        <item x="448"/>
        <item x="430"/>
        <item x="796"/>
        <item x="164"/>
        <item x="47"/>
        <item x="35"/>
        <item x="38"/>
        <item x="214"/>
        <item x="36"/>
        <item x="103"/>
        <item x="513"/>
        <item x="515"/>
        <item x="321"/>
        <item x="173"/>
        <item x="322"/>
        <item x="453"/>
        <item x="562"/>
        <item x="90"/>
        <item x="156"/>
        <item x="69"/>
        <item x="598"/>
        <item x="490"/>
        <item x="790"/>
        <item x="392"/>
        <item x="419"/>
        <item x="151"/>
        <item x="554"/>
        <item x="94"/>
        <item x="335"/>
        <item x="332"/>
        <item x="773"/>
        <item x="40"/>
        <item x="525"/>
        <item x="6"/>
        <item x="483"/>
        <item x="216"/>
        <item x="530"/>
        <item x="123"/>
        <item x="272"/>
        <item x="637"/>
        <item x="82"/>
        <item x="645"/>
        <item x="211"/>
        <item x="191"/>
        <item x="283"/>
        <item x="416"/>
        <item x="511"/>
        <item x="266"/>
        <item x="527"/>
        <item x="660"/>
        <item x="120"/>
        <item x="804"/>
        <item x="724"/>
        <item x="245"/>
        <item x="100"/>
        <item x="403"/>
        <item x="66"/>
        <item x="420"/>
        <item x="772"/>
        <item x="439"/>
        <item x="34"/>
        <item x="144"/>
        <item x="444"/>
        <item x="454"/>
        <item x="429"/>
        <item x="263"/>
        <item x="167"/>
        <item x="664"/>
        <item x="391"/>
        <item x="386"/>
        <item x="688"/>
        <item x="694"/>
        <item x="268"/>
        <item x="350"/>
        <item x="172"/>
        <item x="806"/>
        <item x="56"/>
        <item x="487"/>
        <item x="166"/>
        <item x="678"/>
        <item x="746"/>
        <item x="593"/>
        <item x="689"/>
        <item x="310"/>
        <item x="421"/>
        <item x="807"/>
        <item x="601"/>
        <item x="835"/>
        <item x="609"/>
        <item x="446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6">
        <item x="2"/>
        <item x="3"/>
        <item x="0"/>
        <item x="4"/>
        <item x="1"/>
        <item t="default"/>
      </items>
    </pivotField>
  </pivotFields>
  <rowFields count="1">
    <field x="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Monthly_Spending_INR" fld="8" baseField="0" baseItem="0"/>
  </dataFields>
  <formats count="11">
    <format dxfId="68">
      <pivotArea outline="0" collapsedLevelsAreSubtotals="1" fieldPosition="0"/>
    </format>
    <format dxfId="67">
      <pivotArea field="1" type="button" dataOnly="0" labelOnly="1" outline="0"/>
    </format>
    <format dxfId="66">
      <pivotArea dataOnly="0" labelOnly="1" grandRow="1" outline="0" fieldPosition="0"/>
    </format>
    <format dxfId="65">
      <pivotArea dataOnly="0" labelOnly="1" grandCol="1" outline="0" fieldPosition="0"/>
    </format>
    <format dxfId="64">
      <pivotArea outline="0" collapsedLevelsAreSubtotals="1" fieldPosition="0"/>
    </format>
    <format dxfId="63">
      <pivotArea field="1" type="button" dataOnly="0" labelOnly="1" outline="0"/>
    </format>
    <format dxfId="62">
      <pivotArea dataOnly="0" labelOnly="1" grandRow="1" outline="0" fieldPosition="0"/>
    </format>
    <format dxfId="61">
      <pivotArea dataOnly="0" labelOnly="1" grandCol="1" outline="0" fieldPosition="0"/>
    </format>
    <format dxfId="60">
      <pivotArea field="6" type="button" dataOnly="0" labelOnly="1" outline="0" axis="axisRow" fieldPosition="0"/>
    </format>
    <format dxfId="59">
      <pivotArea dataOnly="0" labelOnly="1" fieldPosition="0">
        <references count="1">
          <reference field="6" count="0"/>
        </references>
      </pivotArea>
    </format>
    <format dxfId="5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94916-574C-42C7-A55C-119923DBEEE1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Age Group">
  <location ref="A40:J46" firstHeaderRow="1" firstDataRow="2" firstDataCol="1"/>
  <pivotFields count="14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>
      <items count="7">
        <item x="2"/>
        <item x="0"/>
        <item x="3"/>
        <item x="1"/>
        <item x="4"/>
        <item x="5"/>
        <item t="default"/>
      </items>
    </pivotField>
    <pivotField showAll="0">
      <items count="27">
        <item x="18"/>
        <item x="17"/>
        <item x="4"/>
        <item x="0"/>
        <item x="8"/>
        <item x="25"/>
        <item x="1"/>
        <item x="14"/>
        <item x="19"/>
        <item x="13"/>
        <item x="11"/>
        <item x="5"/>
        <item x="16"/>
        <item x="20"/>
        <item x="24"/>
        <item x="23"/>
        <item x="10"/>
        <item x="7"/>
        <item x="21"/>
        <item x="3"/>
        <item x="6"/>
        <item x="22"/>
        <item x="2"/>
        <item x="9"/>
        <item x="12"/>
        <item x="15"/>
        <item t="default"/>
      </items>
    </pivotField>
    <pivotField axis="axisCol" dataField="1" showAll="0">
      <items count="9">
        <item x="0"/>
        <item x="2"/>
        <item x="6"/>
        <item x="4"/>
        <item x="5"/>
        <item x="1"/>
        <item x="7"/>
        <item x="3"/>
        <item t="default"/>
      </items>
    </pivotField>
    <pivotField showAll="0">
      <items count="844">
        <item x="271"/>
        <item x="315"/>
        <item x="744"/>
        <item x="665"/>
        <item x="360"/>
        <item x="432"/>
        <item x="433"/>
        <item x="210"/>
        <item x="108"/>
        <item x="606"/>
        <item x="825"/>
        <item x="385"/>
        <item x="789"/>
        <item x="475"/>
        <item x="474"/>
        <item x="783"/>
        <item x="533"/>
        <item x="470"/>
        <item x="196"/>
        <item x="618"/>
        <item x="274"/>
        <item x="643"/>
        <item x="695"/>
        <item x="729"/>
        <item x="635"/>
        <item x="617"/>
        <item x="0"/>
        <item x="51"/>
        <item x="422"/>
        <item x="822"/>
        <item x="799"/>
        <item x="529"/>
        <item x="532"/>
        <item x="246"/>
        <item x="793"/>
        <item x="476"/>
        <item x="679"/>
        <item x="468"/>
        <item x="434"/>
        <item x="361"/>
        <item x="267"/>
        <item x="33"/>
        <item x="723"/>
        <item x="23"/>
        <item x="29"/>
        <item x="795"/>
        <item x="751"/>
        <item x="587"/>
        <item x="159"/>
        <item x="4"/>
        <item x="375"/>
        <item x="317"/>
        <item x="568"/>
        <item x="73"/>
        <item x="393"/>
        <item x="646"/>
        <item x="314"/>
        <item x="442"/>
        <item x="115"/>
        <item x="811"/>
        <item x="820"/>
        <item x="605"/>
        <item x="117"/>
        <item x="461"/>
        <item x="346"/>
        <item x="509"/>
        <item x="380"/>
        <item x="658"/>
        <item x="750"/>
        <item x="510"/>
        <item x="387"/>
        <item x="25"/>
        <item x="212"/>
        <item x="32"/>
        <item x="537"/>
        <item x="655"/>
        <item x="333"/>
        <item x="498"/>
        <item x="67"/>
        <item x="338"/>
        <item x="143"/>
        <item x="65"/>
        <item x="748"/>
        <item x="110"/>
        <item x="249"/>
        <item x="809"/>
        <item x="312"/>
        <item x="745"/>
        <item x="586"/>
        <item x="581"/>
        <item x="225"/>
        <item x="736"/>
        <item x="102"/>
        <item x="823"/>
        <item x="780"/>
        <item x="116"/>
        <item x="256"/>
        <item x="504"/>
        <item x="236"/>
        <item x="747"/>
        <item x="27"/>
        <item x="585"/>
        <item x="207"/>
        <item x="235"/>
        <item x="197"/>
        <item x="17"/>
        <item x="728"/>
        <item x="701"/>
        <item x="184"/>
        <item x="402"/>
        <item x="313"/>
        <item x="738"/>
        <item x="303"/>
        <item x="368"/>
        <item x="485"/>
        <item x="26"/>
        <item x="290"/>
        <item x="786"/>
        <item x="161"/>
        <item x="682"/>
        <item x="600"/>
        <item x="414"/>
        <item x="28"/>
        <item x="496"/>
        <item x="309"/>
        <item x="714"/>
        <item x="508"/>
        <item x="50"/>
        <item x="10"/>
        <item x="536"/>
        <item x="447"/>
        <item x="92"/>
        <item x="356"/>
        <item x="334"/>
        <item x="359"/>
        <item x="237"/>
        <item x="491"/>
        <item x="52"/>
        <item x="559"/>
        <item x="693"/>
        <item x="756"/>
        <item x="663"/>
        <item x="692"/>
        <item x="456"/>
        <item x="109"/>
        <item x="570"/>
        <item x="24"/>
        <item x="528"/>
        <item x="319"/>
        <item x="539"/>
        <item x="591"/>
        <item x="336"/>
        <item x="141"/>
        <item x="460"/>
        <item x="202"/>
        <item x="808"/>
        <item x="415"/>
        <item x="788"/>
        <item x="466"/>
        <item x="253"/>
        <item x="463"/>
        <item x="378"/>
        <item x="390"/>
        <item x="113"/>
        <item x="739"/>
        <item x="96"/>
        <item x="374"/>
        <item x="389"/>
        <item x="388"/>
        <item x="340"/>
        <item x="122"/>
        <item x="384"/>
        <item x="22"/>
        <item x="768"/>
        <item x="730"/>
        <item x="435"/>
        <item x="719"/>
        <item x="640"/>
        <item x="287"/>
        <item x="345"/>
        <item x="149"/>
        <item x="208"/>
        <item x="162"/>
        <item x="644"/>
        <item x="704"/>
        <item x="261"/>
        <item x="629"/>
        <item x="494"/>
        <item x="306"/>
        <item x="445"/>
        <item x="557"/>
        <item x="30"/>
        <item x="286"/>
        <item x="479"/>
        <item x="583"/>
        <item x="11"/>
        <item x="452"/>
        <item x="428"/>
        <item x="351"/>
        <item x="431"/>
        <item x="734"/>
        <item x="222"/>
        <item x="328"/>
        <item x="821"/>
        <item x="505"/>
        <item x="764"/>
        <item x="462"/>
        <item x="654"/>
        <item x="676"/>
        <item x="276"/>
        <item x="18"/>
        <item x="595"/>
        <item x="279"/>
        <item x="424"/>
        <item x="749"/>
        <item x="752"/>
        <item x="840"/>
        <item x="607"/>
        <item x="285"/>
        <item x="798"/>
        <item x="566"/>
        <item x="296"/>
        <item x="803"/>
        <item x="672"/>
        <item x="733"/>
        <item x="178"/>
        <item x="201"/>
        <item x="5"/>
        <item x="651"/>
        <item x="284"/>
        <item x="95"/>
        <item x="238"/>
        <item x="760"/>
        <item x="841"/>
        <item x="706"/>
        <item x="185"/>
        <item x="289"/>
        <item x="642"/>
        <item x="264"/>
        <item x="519"/>
        <item x="400"/>
        <item x="186"/>
        <item x="630"/>
        <item x="215"/>
        <item x="344"/>
        <item x="767"/>
        <item x="104"/>
        <item x="148"/>
        <item x="89"/>
        <item x="718"/>
        <item x="499"/>
        <item x="632"/>
        <item x="200"/>
        <item x="15"/>
        <item x="814"/>
        <item x="1"/>
        <item x="78"/>
        <item x="623"/>
        <item x="339"/>
        <item x="819"/>
        <item x="495"/>
        <item x="140"/>
        <item x="777"/>
        <item x="636"/>
        <item x="16"/>
        <item x="457"/>
        <item x="291"/>
        <item x="503"/>
        <item x="699"/>
        <item x="240"/>
        <item x="394"/>
        <item x="546"/>
        <item x="244"/>
        <item x="561"/>
        <item x="42"/>
        <item x="481"/>
        <item x="497"/>
        <item x="661"/>
        <item x="531"/>
        <item x="771"/>
        <item x="563"/>
        <item x="690"/>
        <item x="707"/>
        <item x="541"/>
        <item x="571"/>
        <item x="770"/>
        <item x="8"/>
        <item x="837"/>
        <item x="781"/>
        <item x="3"/>
        <item x="80"/>
        <item x="265"/>
        <item x="174"/>
        <item x="233"/>
        <item x="231"/>
        <item x="465"/>
        <item x="708"/>
        <item x="206"/>
        <item x="506"/>
        <item x="58"/>
        <item x="68"/>
        <item x="105"/>
        <item x="794"/>
        <item x="560"/>
        <item x="369"/>
        <item x="99"/>
        <item x="727"/>
        <item x="230"/>
        <item x="633"/>
        <item x="165"/>
        <item x="443"/>
        <item x="725"/>
        <item x="740"/>
        <item x="250"/>
        <item x="576"/>
        <item x="696"/>
        <item x="363"/>
        <item x="170"/>
        <item x="427"/>
        <item x="128"/>
        <item x="514"/>
        <item x="410"/>
        <item x="320"/>
        <item x="829"/>
        <item x="75"/>
        <item x="417"/>
        <item x="638"/>
        <item x="21"/>
        <item x="762"/>
        <item x="589"/>
        <item x="85"/>
        <item x="549"/>
        <item x="218"/>
        <item x="188"/>
        <item x="797"/>
        <item x="60"/>
        <item x="805"/>
        <item x="726"/>
        <item x="649"/>
        <item x="621"/>
        <item x="294"/>
        <item x="381"/>
        <item x="243"/>
        <item x="74"/>
        <item x="217"/>
        <item x="608"/>
        <item x="711"/>
        <item x="297"/>
        <item x="163"/>
        <item x="831"/>
        <item x="826"/>
        <item x="535"/>
        <item x="406"/>
        <item x="438"/>
        <item x="379"/>
        <item x="575"/>
        <item x="775"/>
        <item x="449"/>
        <item x="43"/>
        <item x="622"/>
        <item x="619"/>
        <item x="628"/>
        <item x="327"/>
        <item x="404"/>
        <item x="55"/>
        <item x="382"/>
        <item x="828"/>
        <item x="667"/>
        <item x="154"/>
        <item x="653"/>
        <item x="329"/>
        <item x="641"/>
        <item x="260"/>
        <item x="133"/>
        <item x="801"/>
        <item x="408"/>
        <item x="741"/>
        <item x="500"/>
        <item x="832"/>
        <item x="666"/>
        <item x="316"/>
        <item x="112"/>
        <item x="484"/>
        <item x="152"/>
        <item x="458"/>
        <item x="301"/>
        <item x="372"/>
        <item x="467"/>
        <item x="721"/>
        <item x="180"/>
        <item x="779"/>
        <item x="252"/>
        <item x="551"/>
        <item x="757"/>
        <item x="579"/>
        <item x="440"/>
        <item x="450"/>
        <item x="791"/>
        <item x="650"/>
        <item x="195"/>
        <item x="131"/>
        <item x="257"/>
        <item x="668"/>
        <item x="323"/>
        <item x="86"/>
        <item x="192"/>
        <item x="376"/>
        <item x="97"/>
        <item x="755"/>
        <item x="241"/>
        <item x="507"/>
        <item x="436"/>
        <item x="742"/>
        <item x="613"/>
        <item x="521"/>
        <item x="354"/>
        <item x="574"/>
        <item x="259"/>
        <item x="127"/>
        <item x="614"/>
        <item x="330"/>
        <item x="365"/>
        <item x="567"/>
        <item x="398"/>
        <item x="371"/>
        <item x="205"/>
        <item x="187"/>
        <item x="766"/>
        <item x="620"/>
        <item x="753"/>
        <item x="239"/>
        <item x="142"/>
        <item x="280"/>
        <item x="292"/>
        <item x="46"/>
        <item x="543"/>
        <item x="710"/>
        <item x="45"/>
        <item x="482"/>
        <item x="800"/>
        <item x="182"/>
        <item x="155"/>
        <item x="735"/>
        <item x="720"/>
        <item x="538"/>
        <item x="269"/>
        <item x="572"/>
        <item x="242"/>
        <item x="101"/>
        <item x="14"/>
        <item x="308"/>
        <item x="157"/>
        <item x="20"/>
        <item x="758"/>
        <item x="98"/>
        <item x="550"/>
        <item x="611"/>
        <item x="72"/>
        <item x="57"/>
        <item x="761"/>
        <item x="364"/>
        <item x="146"/>
        <item x="83"/>
        <item x="437"/>
        <item x="603"/>
        <item x="522"/>
        <item x="401"/>
        <item x="63"/>
        <item x="324"/>
        <item x="596"/>
        <item x="594"/>
        <item x="209"/>
        <item x="2"/>
        <item x="121"/>
        <item x="634"/>
        <item x="464"/>
        <item x="138"/>
        <item x="219"/>
        <item x="478"/>
        <item x="326"/>
        <item x="220"/>
        <item x="412"/>
        <item x="754"/>
        <item x="480"/>
        <item x="204"/>
        <item x="53"/>
        <item x="411"/>
        <item x="592"/>
        <item x="70"/>
        <item x="556"/>
        <item x="396"/>
        <item x="815"/>
        <item x="602"/>
        <item x="136"/>
        <item x="472"/>
        <item x="518"/>
        <item x="542"/>
        <item x="512"/>
        <item x="685"/>
        <item x="459"/>
        <item x="520"/>
        <item x="405"/>
        <item x="673"/>
        <item x="213"/>
        <item x="126"/>
        <item x="255"/>
        <item x="833"/>
        <item x="48"/>
        <item x="659"/>
        <item x="134"/>
        <item x="418"/>
        <item x="198"/>
        <item x="234"/>
        <item x="716"/>
        <item x="183"/>
        <item x="785"/>
        <item x="524"/>
        <item x="675"/>
        <item x="251"/>
        <item x="41"/>
        <item x="175"/>
        <item x="153"/>
        <item x="687"/>
        <item x="578"/>
        <item x="31"/>
        <item x="573"/>
        <item x="248"/>
        <item x="169"/>
        <item x="501"/>
        <item x="698"/>
        <item x="657"/>
        <item x="39"/>
        <item x="199"/>
        <item x="473"/>
        <item x="423"/>
        <item x="355"/>
        <item x="176"/>
        <item x="352"/>
        <item x="407"/>
        <item x="59"/>
        <item x="224"/>
        <item x="471"/>
        <item x="282"/>
        <item x="722"/>
        <item x="818"/>
        <item x="599"/>
        <item x="455"/>
        <item x="12"/>
        <item x="615"/>
        <item x="486"/>
        <item x="93"/>
        <item x="677"/>
        <item x="584"/>
        <item x="564"/>
        <item x="62"/>
        <item x="717"/>
        <item x="712"/>
        <item x="273"/>
        <item x="743"/>
        <item x="226"/>
        <item x="71"/>
        <item x="311"/>
        <item x="304"/>
        <item x="399"/>
        <item x="580"/>
        <item x="367"/>
        <item x="517"/>
        <item x="631"/>
        <item x="349"/>
        <item x="370"/>
        <item x="300"/>
        <item x="588"/>
        <item x="302"/>
        <item x="612"/>
        <item x="838"/>
        <item x="343"/>
        <item x="812"/>
        <item x="76"/>
        <item x="305"/>
        <item x="107"/>
        <item x="552"/>
        <item x="604"/>
        <item x="792"/>
        <item x="610"/>
        <item x="830"/>
        <item x="839"/>
        <item x="684"/>
        <item x="705"/>
        <item x="713"/>
        <item x="171"/>
        <item x="523"/>
        <item x="569"/>
        <item x="776"/>
        <item x="778"/>
        <item x="177"/>
        <item x="106"/>
        <item x="88"/>
        <item x="299"/>
        <item x="229"/>
        <item x="13"/>
        <item x="124"/>
        <item x="670"/>
        <item x="656"/>
        <item x="223"/>
        <item x="331"/>
        <item x="547"/>
        <item x="77"/>
        <item x="702"/>
        <item x="451"/>
        <item x="765"/>
        <item x="44"/>
        <item x="759"/>
        <item x="810"/>
        <item x="129"/>
        <item x="441"/>
        <item x="258"/>
        <item x="19"/>
        <item x="262"/>
        <item x="817"/>
        <item x="342"/>
        <item x="731"/>
        <item x="397"/>
        <item x="627"/>
        <item x="358"/>
        <item x="119"/>
        <item x="293"/>
        <item x="395"/>
        <item x="179"/>
        <item x="270"/>
        <item x="802"/>
        <item x="516"/>
        <item x="193"/>
        <item x="737"/>
        <item x="834"/>
        <item x="409"/>
        <item x="281"/>
        <item x="247"/>
        <item x="7"/>
        <item x="582"/>
        <item x="194"/>
        <item x="548"/>
        <item x="836"/>
        <item x="373"/>
        <item x="277"/>
        <item x="426"/>
        <item x="145"/>
        <item x="337"/>
        <item x="502"/>
        <item x="61"/>
        <item x="703"/>
        <item x="150"/>
        <item x="691"/>
        <item x="680"/>
        <item x="87"/>
        <item x="37"/>
        <item x="295"/>
        <item x="648"/>
        <item x="232"/>
        <item x="545"/>
        <item x="782"/>
        <item x="626"/>
        <item x="357"/>
        <item x="683"/>
        <item x="190"/>
        <item x="147"/>
        <item x="228"/>
        <item x="534"/>
        <item x="278"/>
        <item x="79"/>
        <item x="544"/>
        <item x="54"/>
        <item x="493"/>
        <item x="413"/>
        <item x="774"/>
        <item x="763"/>
        <item x="555"/>
        <item x="565"/>
        <item x="137"/>
        <item x="325"/>
        <item x="709"/>
        <item x="590"/>
        <item x="125"/>
        <item x="597"/>
        <item x="318"/>
        <item x="686"/>
        <item x="813"/>
        <item x="674"/>
        <item x="118"/>
        <item x="158"/>
        <item x="489"/>
        <item x="732"/>
        <item x="275"/>
        <item x="203"/>
        <item x="553"/>
        <item x="353"/>
        <item x="168"/>
        <item x="671"/>
        <item x="160"/>
        <item x="425"/>
        <item x="221"/>
        <item x="81"/>
        <item x="111"/>
        <item x="639"/>
        <item x="625"/>
        <item x="64"/>
        <item x="540"/>
        <item x="787"/>
        <item x="130"/>
        <item x="469"/>
        <item x="616"/>
        <item x="9"/>
        <item x="842"/>
        <item x="715"/>
        <item x="492"/>
        <item x="298"/>
        <item x="366"/>
        <item x="769"/>
        <item x="132"/>
        <item x="624"/>
        <item x="577"/>
        <item x="254"/>
        <item x="139"/>
        <item x="84"/>
        <item x="526"/>
        <item x="383"/>
        <item x="341"/>
        <item x="114"/>
        <item x="647"/>
        <item x="181"/>
        <item x="189"/>
        <item x="135"/>
        <item x="307"/>
        <item x="288"/>
        <item x="91"/>
        <item x="477"/>
        <item x="347"/>
        <item x="377"/>
        <item x="49"/>
        <item x="697"/>
        <item x="824"/>
        <item x="700"/>
        <item x="348"/>
        <item x="227"/>
        <item x="488"/>
        <item x="681"/>
        <item x="784"/>
        <item x="827"/>
        <item x="816"/>
        <item x="362"/>
        <item x="662"/>
        <item x="558"/>
        <item x="669"/>
        <item x="652"/>
        <item x="448"/>
        <item x="430"/>
        <item x="796"/>
        <item x="164"/>
        <item x="47"/>
        <item x="35"/>
        <item x="38"/>
        <item x="214"/>
        <item x="36"/>
        <item x="103"/>
        <item x="513"/>
        <item x="515"/>
        <item x="321"/>
        <item x="173"/>
        <item x="322"/>
        <item x="453"/>
        <item x="562"/>
        <item x="90"/>
        <item x="156"/>
        <item x="69"/>
        <item x="598"/>
        <item x="490"/>
        <item x="790"/>
        <item x="392"/>
        <item x="419"/>
        <item x="151"/>
        <item x="554"/>
        <item x="94"/>
        <item x="335"/>
        <item x="332"/>
        <item x="773"/>
        <item x="40"/>
        <item x="525"/>
        <item x="6"/>
        <item x="483"/>
        <item x="216"/>
        <item x="530"/>
        <item x="123"/>
        <item x="272"/>
        <item x="637"/>
        <item x="82"/>
        <item x="645"/>
        <item x="211"/>
        <item x="191"/>
        <item x="283"/>
        <item x="416"/>
        <item x="511"/>
        <item x="266"/>
        <item x="527"/>
        <item x="660"/>
        <item x="120"/>
        <item x="804"/>
        <item x="724"/>
        <item x="245"/>
        <item x="100"/>
        <item x="403"/>
        <item x="66"/>
        <item x="420"/>
        <item x="772"/>
        <item x="439"/>
        <item x="34"/>
        <item x="144"/>
        <item x="444"/>
        <item x="454"/>
        <item x="429"/>
        <item x="263"/>
        <item x="167"/>
        <item x="664"/>
        <item x="391"/>
        <item x="386"/>
        <item x="688"/>
        <item x="694"/>
        <item x="268"/>
        <item x="350"/>
        <item x="172"/>
        <item x="806"/>
        <item x="56"/>
        <item x="487"/>
        <item x="166"/>
        <item x="678"/>
        <item x="746"/>
        <item x="593"/>
        <item x="689"/>
        <item x="310"/>
        <item x="421"/>
        <item x="807"/>
        <item x="601"/>
        <item x="835"/>
        <item x="609"/>
        <item x="446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6">
        <item x="2"/>
        <item x="3"/>
        <item x="0"/>
        <item x="4"/>
        <item x="1"/>
        <item t="default"/>
      </items>
    </pivotField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Primary_Platform" fld="7" subtotal="count" baseField="0" baseItem="0"/>
  </dataFields>
  <formats count="12"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7" count="0"/>
        </references>
      </pivotArea>
    </format>
    <format dxfId="8">
      <pivotArea dataOnly="0" labelOnly="1" grandCol="1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AEE31-42F2-4076-9B6F-5B377902734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preferred Entertainment Type">
  <location ref="A4:B11" firstHeaderRow="1" firstDataRow="1" firstDataCol="1"/>
  <pivotFields count="14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Row" dataField="1" showAll="0" sortType="descending">
      <items count="7">
        <item x="2"/>
        <item x="0"/>
        <item x="3"/>
        <item x="1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7">
        <item x="18"/>
        <item x="17"/>
        <item x="4"/>
        <item x="0"/>
        <item x="8"/>
        <item x="25"/>
        <item x="1"/>
        <item x="14"/>
        <item x="19"/>
        <item x="13"/>
        <item x="11"/>
        <item x="5"/>
        <item x="16"/>
        <item x="20"/>
        <item x="24"/>
        <item x="23"/>
        <item x="10"/>
        <item x="7"/>
        <item x="21"/>
        <item x="3"/>
        <item x="6"/>
        <item x="22"/>
        <item x="2"/>
        <item x="9"/>
        <item x="12"/>
        <item x="15"/>
        <item t="default"/>
      </items>
    </pivotField>
    <pivotField showAll="0">
      <items count="9">
        <item x="0"/>
        <item x="2"/>
        <item x="6"/>
        <item x="4"/>
        <item x="5"/>
        <item x="1"/>
        <item x="7"/>
        <item x="3"/>
        <item t="default"/>
      </items>
    </pivotField>
    <pivotField showAll="0">
      <items count="844">
        <item x="271"/>
        <item x="315"/>
        <item x="744"/>
        <item x="665"/>
        <item x="360"/>
        <item x="432"/>
        <item x="433"/>
        <item x="210"/>
        <item x="108"/>
        <item x="606"/>
        <item x="825"/>
        <item x="385"/>
        <item x="789"/>
        <item x="475"/>
        <item x="474"/>
        <item x="783"/>
        <item x="533"/>
        <item x="470"/>
        <item x="196"/>
        <item x="618"/>
        <item x="274"/>
        <item x="643"/>
        <item x="695"/>
        <item x="729"/>
        <item x="635"/>
        <item x="617"/>
        <item x="0"/>
        <item x="51"/>
        <item x="422"/>
        <item x="822"/>
        <item x="799"/>
        <item x="529"/>
        <item x="532"/>
        <item x="246"/>
        <item x="793"/>
        <item x="476"/>
        <item x="679"/>
        <item x="468"/>
        <item x="434"/>
        <item x="361"/>
        <item x="267"/>
        <item x="33"/>
        <item x="723"/>
        <item x="23"/>
        <item x="29"/>
        <item x="795"/>
        <item x="751"/>
        <item x="587"/>
        <item x="159"/>
        <item x="4"/>
        <item x="375"/>
        <item x="317"/>
        <item x="568"/>
        <item x="73"/>
        <item x="393"/>
        <item x="646"/>
        <item x="314"/>
        <item x="442"/>
        <item x="115"/>
        <item x="811"/>
        <item x="820"/>
        <item x="605"/>
        <item x="117"/>
        <item x="461"/>
        <item x="346"/>
        <item x="509"/>
        <item x="380"/>
        <item x="658"/>
        <item x="750"/>
        <item x="510"/>
        <item x="387"/>
        <item x="25"/>
        <item x="212"/>
        <item x="32"/>
        <item x="537"/>
        <item x="655"/>
        <item x="333"/>
        <item x="498"/>
        <item x="67"/>
        <item x="338"/>
        <item x="143"/>
        <item x="65"/>
        <item x="748"/>
        <item x="110"/>
        <item x="249"/>
        <item x="809"/>
        <item x="312"/>
        <item x="745"/>
        <item x="586"/>
        <item x="581"/>
        <item x="225"/>
        <item x="736"/>
        <item x="102"/>
        <item x="823"/>
        <item x="780"/>
        <item x="116"/>
        <item x="256"/>
        <item x="504"/>
        <item x="236"/>
        <item x="747"/>
        <item x="27"/>
        <item x="585"/>
        <item x="207"/>
        <item x="235"/>
        <item x="197"/>
        <item x="17"/>
        <item x="728"/>
        <item x="701"/>
        <item x="184"/>
        <item x="402"/>
        <item x="313"/>
        <item x="738"/>
        <item x="303"/>
        <item x="368"/>
        <item x="485"/>
        <item x="26"/>
        <item x="290"/>
        <item x="786"/>
        <item x="161"/>
        <item x="682"/>
        <item x="600"/>
        <item x="414"/>
        <item x="28"/>
        <item x="496"/>
        <item x="309"/>
        <item x="714"/>
        <item x="508"/>
        <item x="50"/>
        <item x="10"/>
        <item x="536"/>
        <item x="447"/>
        <item x="92"/>
        <item x="356"/>
        <item x="334"/>
        <item x="359"/>
        <item x="237"/>
        <item x="491"/>
        <item x="52"/>
        <item x="559"/>
        <item x="693"/>
        <item x="756"/>
        <item x="663"/>
        <item x="692"/>
        <item x="456"/>
        <item x="109"/>
        <item x="570"/>
        <item x="24"/>
        <item x="528"/>
        <item x="319"/>
        <item x="539"/>
        <item x="591"/>
        <item x="336"/>
        <item x="141"/>
        <item x="460"/>
        <item x="202"/>
        <item x="808"/>
        <item x="415"/>
        <item x="788"/>
        <item x="466"/>
        <item x="253"/>
        <item x="463"/>
        <item x="378"/>
        <item x="390"/>
        <item x="113"/>
        <item x="739"/>
        <item x="96"/>
        <item x="374"/>
        <item x="389"/>
        <item x="388"/>
        <item x="340"/>
        <item x="122"/>
        <item x="384"/>
        <item x="22"/>
        <item x="768"/>
        <item x="730"/>
        <item x="435"/>
        <item x="719"/>
        <item x="640"/>
        <item x="287"/>
        <item x="345"/>
        <item x="149"/>
        <item x="208"/>
        <item x="162"/>
        <item x="644"/>
        <item x="704"/>
        <item x="261"/>
        <item x="629"/>
        <item x="494"/>
        <item x="306"/>
        <item x="445"/>
        <item x="557"/>
        <item x="30"/>
        <item x="286"/>
        <item x="479"/>
        <item x="583"/>
        <item x="11"/>
        <item x="452"/>
        <item x="428"/>
        <item x="351"/>
        <item x="431"/>
        <item x="734"/>
        <item x="222"/>
        <item x="328"/>
        <item x="821"/>
        <item x="505"/>
        <item x="764"/>
        <item x="462"/>
        <item x="654"/>
        <item x="676"/>
        <item x="276"/>
        <item x="18"/>
        <item x="595"/>
        <item x="279"/>
        <item x="424"/>
        <item x="749"/>
        <item x="752"/>
        <item x="840"/>
        <item x="607"/>
        <item x="285"/>
        <item x="798"/>
        <item x="566"/>
        <item x="296"/>
        <item x="803"/>
        <item x="672"/>
        <item x="733"/>
        <item x="178"/>
        <item x="201"/>
        <item x="5"/>
        <item x="651"/>
        <item x="284"/>
        <item x="95"/>
        <item x="238"/>
        <item x="760"/>
        <item x="841"/>
        <item x="706"/>
        <item x="185"/>
        <item x="289"/>
        <item x="642"/>
        <item x="264"/>
        <item x="519"/>
        <item x="400"/>
        <item x="186"/>
        <item x="630"/>
        <item x="215"/>
        <item x="344"/>
        <item x="767"/>
        <item x="104"/>
        <item x="148"/>
        <item x="89"/>
        <item x="718"/>
        <item x="499"/>
        <item x="632"/>
        <item x="200"/>
        <item x="15"/>
        <item x="814"/>
        <item x="1"/>
        <item x="78"/>
        <item x="623"/>
        <item x="339"/>
        <item x="819"/>
        <item x="495"/>
        <item x="140"/>
        <item x="777"/>
        <item x="636"/>
        <item x="16"/>
        <item x="457"/>
        <item x="291"/>
        <item x="503"/>
        <item x="699"/>
        <item x="240"/>
        <item x="394"/>
        <item x="546"/>
        <item x="244"/>
        <item x="561"/>
        <item x="42"/>
        <item x="481"/>
        <item x="497"/>
        <item x="661"/>
        <item x="531"/>
        <item x="771"/>
        <item x="563"/>
        <item x="690"/>
        <item x="707"/>
        <item x="541"/>
        <item x="571"/>
        <item x="770"/>
        <item x="8"/>
        <item x="837"/>
        <item x="781"/>
        <item x="3"/>
        <item x="80"/>
        <item x="265"/>
        <item x="174"/>
        <item x="233"/>
        <item x="231"/>
        <item x="465"/>
        <item x="708"/>
        <item x="206"/>
        <item x="506"/>
        <item x="58"/>
        <item x="68"/>
        <item x="105"/>
        <item x="794"/>
        <item x="560"/>
        <item x="369"/>
        <item x="99"/>
        <item x="727"/>
        <item x="230"/>
        <item x="633"/>
        <item x="165"/>
        <item x="443"/>
        <item x="725"/>
        <item x="740"/>
        <item x="250"/>
        <item x="576"/>
        <item x="696"/>
        <item x="363"/>
        <item x="170"/>
        <item x="427"/>
        <item x="128"/>
        <item x="514"/>
        <item x="410"/>
        <item x="320"/>
        <item x="829"/>
        <item x="75"/>
        <item x="417"/>
        <item x="638"/>
        <item x="21"/>
        <item x="762"/>
        <item x="589"/>
        <item x="85"/>
        <item x="549"/>
        <item x="218"/>
        <item x="188"/>
        <item x="797"/>
        <item x="60"/>
        <item x="805"/>
        <item x="726"/>
        <item x="649"/>
        <item x="621"/>
        <item x="294"/>
        <item x="381"/>
        <item x="243"/>
        <item x="74"/>
        <item x="217"/>
        <item x="608"/>
        <item x="711"/>
        <item x="297"/>
        <item x="163"/>
        <item x="831"/>
        <item x="826"/>
        <item x="535"/>
        <item x="406"/>
        <item x="438"/>
        <item x="379"/>
        <item x="575"/>
        <item x="775"/>
        <item x="449"/>
        <item x="43"/>
        <item x="622"/>
        <item x="619"/>
        <item x="628"/>
        <item x="327"/>
        <item x="404"/>
        <item x="55"/>
        <item x="382"/>
        <item x="828"/>
        <item x="667"/>
        <item x="154"/>
        <item x="653"/>
        <item x="329"/>
        <item x="641"/>
        <item x="260"/>
        <item x="133"/>
        <item x="801"/>
        <item x="408"/>
        <item x="741"/>
        <item x="500"/>
        <item x="832"/>
        <item x="666"/>
        <item x="316"/>
        <item x="112"/>
        <item x="484"/>
        <item x="152"/>
        <item x="458"/>
        <item x="301"/>
        <item x="372"/>
        <item x="467"/>
        <item x="721"/>
        <item x="180"/>
        <item x="779"/>
        <item x="252"/>
        <item x="551"/>
        <item x="757"/>
        <item x="579"/>
        <item x="440"/>
        <item x="450"/>
        <item x="791"/>
        <item x="650"/>
        <item x="195"/>
        <item x="131"/>
        <item x="257"/>
        <item x="668"/>
        <item x="323"/>
        <item x="86"/>
        <item x="192"/>
        <item x="376"/>
        <item x="97"/>
        <item x="755"/>
        <item x="241"/>
        <item x="507"/>
        <item x="436"/>
        <item x="742"/>
        <item x="613"/>
        <item x="521"/>
        <item x="354"/>
        <item x="574"/>
        <item x="259"/>
        <item x="127"/>
        <item x="614"/>
        <item x="330"/>
        <item x="365"/>
        <item x="567"/>
        <item x="398"/>
        <item x="371"/>
        <item x="205"/>
        <item x="187"/>
        <item x="766"/>
        <item x="620"/>
        <item x="753"/>
        <item x="239"/>
        <item x="142"/>
        <item x="280"/>
        <item x="292"/>
        <item x="46"/>
        <item x="543"/>
        <item x="710"/>
        <item x="45"/>
        <item x="482"/>
        <item x="800"/>
        <item x="182"/>
        <item x="155"/>
        <item x="735"/>
        <item x="720"/>
        <item x="538"/>
        <item x="269"/>
        <item x="572"/>
        <item x="242"/>
        <item x="101"/>
        <item x="14"/>
        <item x="308"/>
        <item x="157"/>
        <item x="20"/>
        <item x="758"/>
        <item x="98"/>
        <item x="550"/>
        <item x="611"/>
        <item x="72"/>
        <item x="57"/>
        <item x="761"/>
        <item x="364"/>
        <item x="146"/>
        <item x="83"/>
        <item x="437"/>
        <item x="603"/>
        <item x="522"/>
        <item x="401"/>
        <item x="63"/>
        <item x="324"/>
        <item x="596"/>
        <item x="594"/>
        <item x="209"/>
        <item x="2"/>
        <item x="121"/>
        <item x="634"/>
        <item x="464"/>
        <item x="138"/>
        <item x="219"/>
        <item x="478"/>
        <item x="326"/>
        <item x="220"/>
        <item x="412"/>
        <item x="754"/>
        <item x="480"/>
        <item x="204"/>
        <item x="53"/>
        <item x="411"/>
        <item x="592"/>
        <item x="70"/>
        <item x="556"/>
        <item x="396"/>
        <item x="815"/>
        <item x="602"/>
        <item x="136"/>
        <item x="472"/>
        <item x="518"/>
        <item x="542"/>
        <item x="512"/>
        <item x="685"/>
        <item x="459"/>
        <item x="520"/>
        <item x="405"/>
        <item x="673"/>
        <item x="213"/>
        <item x="126"/>
        <item x="255"/>
        <item x="833"/>
        <item x="48"/>
        <item x="659"/>
        <item x="134"/>
        <item x="418"/>
        <item x="198"/>
        <item x="234"/>
        <item x="716"/>
        <item x="183"/>
        <item x="785"/>
        <item x="524"/>
        <item x="675"/>
        <item x="251"/>
        <item x="41"/>
        <item x="175"/>
        <item x="153"/>
        <item x="687"/>
        <item x="578"/>
        <item x="31"/>
        <item x="573"/>
        <item x="248"/>
        <item x="169"/>
        <item x="501"/>
        <item x="698"/>
        <item x="657"/>
        <item x="39"/>
        <item x="199"/>
        <item x="473"/>
        <item x="423"/>
        <item x="355"/>
        <item x="176"/>
        <item x="352"/>
        <item x="407"/>
        <item x="59"/>
        <item x="224"/>
        <item x="471"/>
        <item x="282"/>
        <item x="722"/>
        <item x="818"/>
        <item x="599"/>
        <item x="455"/>
        <item x="12"/>
        <item x="615"/>
        <item x="486"/>
        <item x="93"/>
        <item x="677"/>
        <item x="584"/>
        <item x="564"/>
        <item x="62"/>
        <item x="717"/>
        <item x="712"/>
        <item x="273"/>
        <item x="743"/>
        <item x="226"/>
        <item x="71"/>
        <item x="311"/>
        <item x="304"/>
        <item x="399"/>
        <item x="580"/>
        <item x="367"/>
        <item x="517"/>
        <item x="631"/>
        <item x="349"/>
        <item x="370"/>
        <item x="300"/>
        <item x="588"/>
        <item x="302"/>
        <item x="612"/>
        <item x="838"/>
        <item x="343"/>
        <item x="812"/>
        <item x="76"/>
        <item x="305"/>
        <item x="107"/>
        <item x="552"/>
        <item x="604"/>
        <item x="792"/>
        <item x="610"/>
        <item x="830"/>
        <item x="839"/>
        <item x="684"/>
        <item x="705"/>
        <item x="713"/>
        <item x="171"/>
        <item x="523"/>
        <item x="569"/>
        <item x="776"/>
        <item x="778"/>
        <item x="177"/>
        <item x="106"/>
        <item x="88"/>
        <item x="299"/>
        <item x="229"/>
        <item x="13"/>
        <item x="124"/>
        <item x="670"/>
        <item x="656"/>
        <item x="223"/>
        <item x="331"/>
        <item x="547"/>
        <item x="77"/>
        <item x="702"/>
        <item x="451"/>
        <item x="765"/>
        <item x="44"/>
        <item x="759"/>
        <item x="810"/>
        <item x="129"/>
        <item x="441"/>
        <item x="258"/>
        <item x="19"/>
        <item x="262"/>
        <item x="817"/>
        <item x="342"/>
        <item x="731"/>
        <item x="397"/>
        <item x="627"/>
        <item x="358"/>
        <item x="119"/>
        <item x="293"/>
        <item x="395"/>
        <item x="179"/>
        <item x="270"/>
        <item x="802"/>
        <item x="516"/>
        <item x="193"/>
        <item x="737"/>
        <item x="834"/>
        <item x="409"/>
        <item x="281"/>
        <item x="247"/>
        <item x="7"/>
        <item x="582"/>
        <item x="194"/>
        <item x="548"/>
        <item x="836"/>
        <item x="373"/>
        <item x="277"/>
        <item x="426"/>
        <item x="145"/>
        <item x="337"/>
        <item x="502"/>
        <item x="61"/>
        <item x="703"/>
        <item x="150"/>
        <item x="691"/>
        <item x="680"/>
        <item x="87"/>
        <item x="37"/>
        <item x="295"/>
        <item x="648"/>
        <item x="232"/>
        <item x="545"/>
        <item x="782"/>
        <item x="626"/>
        <item x="357"/>
        <item x="683"/>
        <item x="190"/>
        <item x="147"/>
        <item x="228"/>
        <item x="534"/>
        <item x="278"/>
        <item x="79"/>
        <item x="544"/>
        <item x="54"/>
        <item x="493"/>
        <item x="413"/>
        <item x="774"/>
        <item x="763"/>
        <item x="555"/>
        <item x="565"/>
        <item x="137"/>
        <item x="325"/>
        <item x="709"/>
        <item x="590"/>
        <item x="125"/>
        <item x="597"/>
        <item x="318"/>
        <item x="686"/>
        <item x="813"/>
        <item x="674"/>
        <item x="118"/>
        <item x="158"/>
        <item x="489"/>
        <item x="732"/>
        <item x="275"/>
        <item x="203"/>
        <item x="553"/>
        <item x="353"/>
        <item x="168"/>
        <item x="671"/>
        <item x="160"/>
        <item x="425"/>
        <item x="221"/>
        <item x="81"/>
        <item x="111"/>
        <item x="639"/>
        <item x="625"/>
        <item x="64"/>
        <item x="540"/>
        <item x="787"/>
        <item x="130"/>
        <item x="469"/>
        <item x="616"/>
        <item x="9"/>
        <item x="842"/>
        <item x="715"/>
        <item x="492"/>
        <item x="298"/>
        <item x="366"/>
        <item x="769"/>
        <item x="132"/>
        <item x="624"/>
        <item x="577"/>
        <item x="254"/>
        <item x="139"/>
        <item x="84"/>
        <item x="526"/>
        <item x="383"/>
        <item x="341"/>
        <item x="114"/>
        <item x="647"/>
        <item x="181"/>
        <item x="189"/>
        <item x="135"/>
        <item x="307"/>
        <item x="288"/>
        <item x="91"/>
        <item x="477"/>
        <item x="347"/>
        <item x="377"/>
        <item x="49"/>
        <item x="697"/>
        <item x="824"/>
        <item x="700"/>
        <item x="348"/>
        <item x="227"/>
        <item x="488"/>
        <item x="681"/>
        <item x="784"/>
        <item x="827"/>
        <item x="816"/>
        <item x="362"/>
        <item x="662"/>
        <item x="558"/>
        <item x="669"/>
        <item x="652"/>
        <item x="448"/>
        <item x="430"/>
        <item x="796"/>
        <item x="164"/>
        <item x="47"/>
        <item x="35"/>
        <item x="38"/>
        <item x="214"/>
        <item x="36"/>
        <item x="103"/>
        <item x="513"/>
        <item x="515"/>
        <item x="321"/>
        <item x="173"/>
        <item x="322"/>
        <item x="453"/>
        <item x="562"/>
        <item x="90"/>
        <item x="156"/>
        <item x="69"/>
        <item x="598"/>
        <item x="490"/>
        <item x="790"/>
        <item x="392"/>
        <item x="419"/>
        <item x="151"/>
        <item x="554"/>
        <item x="94"/>
        <item x="335"/>
        <item x="332"/>
        <item x="773"/>
        <item x="40"/>
        <item x="525"/>
        <item x="6"/>
        <item x="483"/>
        <item x="216"/>
        <item x="530"/>
        <item x="123"/>
        <item x="272"/>
        <item x="637"/>
        <item x="82"/>
        <item x="645"/>
        <item x="211"/>
        <item x="191"/>
        <item x="283"/>
        <item x="416"/>
        <item x="511"/>
        <item x="266"/>
        <item x="527"/>
        <item x="660"/>
        <item x="120"/>
        <item x="804"/>
        <item x="724"/>
        <item x="245"/>
        <item x="100"/>
        <item x="403"/>
        <item x="66"/>
        <item x="420"/>
        <item x="772"/>
        <item x="439"/>
        <item x="34"/>
        <item x="144"/>
        <item x="444"/>
        <item x="454"/>
        <item x="429"/>
        <item x="263"/>
        <item x="167"/>
        <item x="664"/>
        <item x="391"/>
        <item x="386"/>
        <item x="688"/>
        <item x="694"/>
        <item x="268"/>
        <item x="350"/>
        <item x="172"/>
        <item x="806"/>
        <item x="56"/>
        <item x="487"/>
        <item x="166"/>
        <item x="678"/>
        <item x="746"/>
        <item x="593"/>
        <item x="689"/>
        <item x="310"/>
        <item x="421"/>
        <item x="807"/>
        <item x="601"/>
        <item x="835"/>
        <item x="609"/>
        <item x="446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6">
        <item x="2"/>
        <item x="3"/>
        <item x="0"/>
        <item x="4"/>
        <item x="1"/>
        <item t="default"/>
      </items>
    </pivotField>
  </pivotFields>
  <rowFields count="1">
    <field x="5"/>
  </rowFields>
  <rowItems count="7">
    <i>
      <x v="5"/>
    </i>
    <i>
      <x v="4"/>
    </i>
    <i>
      <x v="1"/>
    </i>
    <i>
      <x v="2"/>
    </i>
    <i>
      <x/>
    </i>
    <i>
      <x v="3"/>
    </i>
    <i t="grand">
      <x/>
    </i>
  </rowItems>
  <colItems count="1">
    <i/>
  </colItems>
  <dataFields count="1">
    <dataField name="Count of Preferred_Entertainment_Type" fld="5" subtotal="count" baseField="0" baseItem="0"/>
  </dataFields>
  <formats count="7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5" type="button" dataOnly="0" labelOnly="1" outline="0" axis="axisRow" fieldPosition="0"/>
    </format>
    <format dxfId="17">
      <pivotArea dataOnly="0" labelOnly="1" fieldPosition="0">
        <references count="1">
          <reference field="5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E51D7-D24B-4CCD-9F21-C8CAF3FE117A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eferred Entertainment">
  <location ref="A57:B64" firstHeaderRow="1" firstDataRow="1" firstDataCol="1"/>
  <pivotFields count="14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Row" showAll="0" sortType="descending">
      <items count="7">
        <item x="2"/>
        <item x="0"/>
        <item x="3"/>
        <item x="1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7">
        <item x="18"/>
        <item x="17"/>
        <item x="4"/>
        <item x="0"/>
        <item x="8"/>
        <item x="25"/>
        <item x="1"/>
        <item x="14"/>
        <item x="19"/>
        <item x="13"/>
        <item x="11"/>
        <item x="5"/>
        <item x="16"/>
        <item x="20"/>
        <item x="24"/>
        <item x="23"/>
        <item x="10"/>
        <item x="7"/>
        <item x="21"/>
        <item x="3"/>
        <item x="6"/>
        <item x="22"/>
        <item x="2"/>
        <item x="9"/>
        <item x="12"/>
        <item x="15"/>
        <item t="default"/>
      </items>
    </pivotField>
    <pivotField showAll="0">
      <items count="9">
        <item x="0"/>
        <item x="2"/>
        <item x="6"/>
        <item x="4"/>
        <item x="5"/>
        <item x="1"/>
        <item x="7"/>
        <item x="3"/>
        <item t="default"/>
      </items>
    </pivotField>
    <pivotField dataField="1" showAll="0">
      <items count="844">
        <item x="271"/>
        <item x="315"/>
        <item x="744"/>
        <item x="665"/>
        <item x="360"/>
        <item x="432"/>
        <item x="433"/>
        <item x="210"/>
        <item x="108"/>
        <item x="606"/>
        <item x="825"/>
        <item x="385"/>
        <item x="789"/>
        <item x="475"/>
        <item x="474"/>
        <item x="783"/>
        <item x="533"/>
        <item x="470"/>
        <item x="196"/>
        <item x="618"/>
        <item x="274"/>
        <item x="643"/>
        <item x="695"/>
        <item x="729"/>
        <item x="635"/>
        <item x="617"/>
        <item x="0"/>
        <item x="51"/>
        <item x="422"/>
        <item x="822"/>
        <item x="799"/>
        <item x="529"/>
        <item x="532"/>
        <item x="246"/>
        <item x="793"/>
        <item x="476"/>
        <item x="679"/>
        <item x="468"/>
        <item x="434"/>
        <item x="361"/>
        <item x="267"/>
        <item x="33"/>
        <item x="723"/>
        <item x="23"/>
        <item x="29"/>
        <item x="795"/>
        <item x="751"/>
        <item x="587"/>
        <item x="159"/>
        <item x="4"/>
        <item x="375"/>
        <item x="317"/>
        <item x="568"/>
        <item x="73"/>
        <item x="393"/>
        <item x="646"/>
        <item x="314"/>
        <item x="442"/>
        <item x="115"/>
        <item x="811"/>
        <item x="820"/>
        <item x="605"/>
        <item x="117"/>
        <item x="461"/>
        <item x="346"/>
        <item x="509"/>
        <item x="380"/>
        <item x="658"/>
        <item x="750"/>
        <item x="510"/>
        <item x="387"/>
        <item x="25"/>
        <item x="212"/>
        <item x="32"/>
        <item x="537"/>
        <item x="655"/>
        <item x="333"/>
        <item x="498"/>
        <item x="67"/>
        <item x="338"/>
        <item x="143"/>
        <item x="65"/>
        <item x="748"/>
        <item x="110"/>
        <item x="249"/>
        <item x="809"/>
        <item x="312"/>
        <item x="745"/>
        <item x="586"/>
        <item x="581"/>
        <item x="225"/>
        <item x="736"/>
        <item x="102"/>
        <item x="823"/>
        <item x="780"/>
        <item x="116"/>
        <item x="256"/>
        <item x="504"/>
        <item x="236"/>
        <item x="747"/>
        <item x="27"/>
        <item x="585"/>
        <item x="207"/>
        <item x="235"/>
        <item x="197"/>
        <item x="17"/>
        <item x="728"/>
        <item x="701"/>
        <item x="184"/>
        <item x="402"/>
        <item x="313"/>
        <item x="738"/>
        <item x="303"/>
        <item x="368"/>
        <item x="485"/>
        <item x="26"/>
        <item x="290"/>
        <item x="786"/>
        <item x="161"/>
        <item x="682"/>
        <item x="600"/>
        <item x="414"/>
        <item x="28"/>
        <item x="496"/>
        <item x="309"/>
        <item x="714"/>
        <item x="508"/>
        <item x="50"/>
        <item x="10"/>
        <item x="536"/>
        <item x="447"/>
        <item x="92"/>
        <item x="356"/>
        <item x="334"/>
        <item x="359"/>
        <item x="237"/>
        <item x="491"/>
        <item x="52"/>
        <item x="559"/>
        <item x="693"/>
        <item x="756"/>
        <item x="663"/>
        <item x="692"/>
        <item x="456"/>
        <item x="109"/>
        <item x="570"/>
        <item x="24"/>
        <item x="528"/>
        <item x="319"/>
        <item x="539"/>
        <item x="591"/>
        <item x="336"/>
        <item x="141"/>
        <item x="460"/>
        <item x="202"/>
        <item x="808"/>
        <item x="415"/>
        <item x="788"/>
        <item x="466"/>
        <item x="253"/>
        <item x="463"/>
        <item x="378"/>
        <item x="390"/>
        <item x="113"/>
        <item x="739"/>
        <item x="96"/>
        <item x="374"/>
        <item x="389"/>
        <item x="388"/>
        <item x="340"/>
        <item x="122"/>
        <item x="384"/>
        <item x="22"/>
        <item x="768"/>
        <item x="730"/>
        <item x="435"/>
        <item x="719"/>
        <item x="640"/>
        <item x="287"/>
        <item x="345"/>
        <item x="149"/>
        <item x="208"/>
        <item x="162"/>
        <item x="644"/>
        <item x="704"/>
        <item x="261"/>
        <item x="629"/>
        <item x="494"/>
        <item x="306"/>
        <item x="445"/>
        <item x="557"/>
        <item x="30"/>
        <item x="286"/>
        <item x="479"/>
        <item x="583"/>
        <item x="11"/>
        <item x="452"/>
        <item x="428"/>
        <item x="351"/>
        <item x="431"/>
        <item x="734"/>
        <item x="222"/>
        <item x="328"/>
        <item x="821"/>
        <item x="505"/>
        <item x="764"/>
        <item x="462"/>
        <item x="654"/>
        <item x="676"/>
        <item x="276"/>
        <item x="18"/>
        <item x="595"/>
        <item x="279"/>
        <item x="424"/>
        <item x="749"/>
        <item x="752"/>
        <item x="840"/>
        <item x="607"/>
        <item x="285"/>
        <item x="798"/>
        <item x="566"/>
        <item x="296"/>
        <item x="803"/>
        <item x="672"/>
        <item x="733"/>
        <item x="178"/>
        <item x="201"/>
        <item x="5"/>
        <item x="651"/>
        <item x="284"/>
        <item x="95"/>
        <item x="238"/>
        <item x="760"/>
        <item x="841"/>
        <item x="706"/>
        <item x="185"/>
        <item x="289"/>
        <item x="642"/>
        <item x="264"/>
        <item x="519"/>
        <item x="400"/>
        <item x="186"/>
        <item x="630"/>
        <item x="215"/>
        <item x="344"/>
        <item x="767"/>
        <item x="104"/>
        <item x="148"/>
        <item x="89"/>
        <item x="718"/>
        <item x="499"/>
        <item x="632"/>
        <item x="200"/>
        <item x="15"/>
        <item x="814"/>
        <item x="1"/>
        <item x="78"/>
        <item x="623"/>
        <item x="339"/>
        <item x="819"/>
        <item x="495"/>
        <item x="140"/>
        <item x="777"/>
        <item x="636"/>
        <item x="16"/>
        <item x="457"/>
        <item x="291"/>
        <item x="503"/>
        <item x="699"/>
        <item x="240"/>
        <item x="394"/>
        <item x="546"/>
        <item x="244"/>
        <item x="561"/>
        <item x="42"/>
        <item x="481"/>
        <item x="497"/>
        <item x="661"/>
        <item x="531"/>
        <item x="771"/>
        <item x="563"/>
        <item x="690"/>
        <item x="707"/>
        <item x="541"/>
        <item x="571"/>
        <item x="770"/>
        <item x="8"/>
        <item x="837"/>
        <item x="781"/>
        <item x="3"/>
        <item x="80"/>
        <item x="265"/>
        <item x="174"/>
        <item x="233"/>
        <item x="231"/>
        <item x="465"/>
        <item x="708"/>
        <item x="206"/>
        <item x="506"/>
        <item x="58"/>
        <item x="68"/>
        <item x="105"/>
        <item x="794"/>
        <item x="560"/>
        <item x="369"/>
        <item x="99"/>
        <item x="727"/>
        <item x="230"/>
        <item x="633"/>
        <item x="165"/>
        <item x="443"/>
        <item x="725"/>
        <item x="740"/>
        <item x="250"/>
        <item x="576"/>
        <item x="696"/>
        <item x="363"/>
        <item x="170"/>
        <item x="427"/>
        <item x="128"/>
        <item x="514"/>
        <item x="410"/>
        <item x="320"/>
        <item x="829"/>
        <item x="75"/>
        <item x="417"/>
        <item x="638"/>
        <item x="21"/>
        <item x="762"/>
        <item x="589"/>
        <item x="85"/>
        <item x="549"/>
        <item x="218"/>
        <item x="188"/>
        <item x="797"/>
        <item x="60"/>
        <item x="805"/>
        <item x="726"/>
        <item x="649"/>
        <item x="621"/>
        <item x="294"/>
        <item x="381"/>
        <item x="243"/>
        <item x="74"/>
        <item x="217"/>
        <item x="608"/>
        <item x="711"/>
        <item x="297"/>
        <item x="163"/>
        <item x="831"/>
        <item x="826"/>
        <item x="535"/>
        <item x="406"/>
        <item x="438"/>
        <item x="379"/>
        <item x="575"/>
        <item x="775"/>
        <item x="449"/>
        <item x="43"/>
        <item x="622"/>
        <item x="619"/>
        <item x="628"/>
        <item x="327"/>
        <item x="404"/>
        <item x="55"/>
        <item x="382"/>
        <item x="828"/>
        <item x="667"/>
        <item x="154"/>
        <item x="653"/>
        <item x="329"/>
        <item x="641"/>
        <item x="260"/>
        <item x="133"/>
        <item x="801"/>
        <item x="408"/>
        <item x="741"/>
        <item x="500"/>
        <item x="832"/>
        <item x="666"/>
        <item x="316"/>
        <item x="112"/>
        <item x="484"/>
        <item x="152"/>
        <item x="458"/>
        <item x="301"/>
        <item x="372"/>
        <item x="467"/>
        <item x="721"/>
        <item x="180"/>
        <item x="779"/>
        <item x="252"/>
        <item x="551"/>
        <item x="757"/>
        <item x="579"/>
        <item x="440"/>
        <item x="450"/>
        <item x="791"/>
        <item x="650"/>
        <item x="195"/>
        <item x="131"/>
        <item x="257"/>
        <item x="668"/>
        <item x="323"/>
        <item x="86"/>
        <item x="192"/>
        <item x="376"/>
        <item x="97"/>
        <item x="755"/>
        <item x="241"/>
        <item x="507"/>
        <item x="436"/>
        <item x="742"/>
        <item x="613"/>
        <item x="521"/>
        <item x="354"/>
        <item x="574"/>
        <item x="259"/>
        <item x="127"/>
        <item x="614"/>
        <item x="330"/>
        <item x="365"/>
        <item x="567"/>
        <item x="398"/>
        <item x="371"/>
        <item x="205"/>
        <item x="187"/>
        <item x="766"/>
        <item x="620"/>
        <item x="753"/>
        <item x="239"/>
        <item x="142"/>
        <item x="280"/>
        <item x="292"/>
        <item x="46"/>
        <item x="543"/>
        <item x="710"/>
        <item x="45"/>
        <item x="482"/>
        <item x="800"/>
        <item x="182"/>
        <item x="155"/>
        <item x="735"/>
        <item x="720"/>
        <item x="538"/>
        <item x="269"/>
        <item x="572"/>
        <item x="242"/>
        <item x="101"/>
        <item x="14"/>
        <item x="308"/>
        <item x="157"/>
        <item x="20"/>
        <item x="758"/>
        <item x="98"/>
        <item x="550"/>
        <item x="611"/>
        <item x="72"/>
        <item x="57"/>
        <item x="761"/>
        <item x="364"/>
        <item x="146"/>
        <item x="83"/>
        <item x="437"/>
        <item x="603"/>
        <item x="522"/>
        <item x="401"/>
        <item x="63"/>
        <item x="324"/>
        <item x="596"/>
        <item x="594"/>
        <item x="209"/>
        <item x="2"/>
        <item x="121"/>
        <item x="634"/>
        <item x="464"/>
        <item x="138"/>
        <item x="219"/>
        <item x="478"/>
        <item x="326"/>
        <item x="220"/>
        <item x="412"/>
        <item x="754"/>
        <item x="480"/>
        <item x="204"/>
        <item x="53"/>
        <item x="411"/>
        <item x="592"/>
        <item x="70"/>
        <item x="556"/>
        <item x="396"/>
        <item x="815"/>
        <item x="602"/>
        <item x="136"/>
        <item x="472"/>
        <item x="518"/>
        <item x="542"/>
        <item x="512"/>
        <item x="685"/>
        <item x="459"/>
        <item x="520"/>
        <item x="405"/>
        <item x="673"/>
        <item x="213"/>
        <item x="126"/>
        <item x="255"/>
        <item x="833"/>
        <item x="48"/>
        <item x="659"/>
        <item x="134"/>
        <item x="418"/>
        <item x="198"/>
        <item x="234"/>
        <item x="716"/>
        <item x="183"/>
        <item x="785"/>
        <item x="524"/>
        <item x="675"/>
        <item x="251"/>
        <item x="41"/>
        <item x="175"/>
        <item x="153"/>
        <item x="687"/>
        <item x="578"/>
        <item x="31"/>
        <item x="573"/>
        <item x="248"/>
        <item x="169"/>
        <item x="501"/>
        <item x="698"/>
        <item x="657"/>
        <item x="39"/>
        <item x="199"/>
        <item x="473"/>
        <item x="423"/>
        <item x="355"/>
        <item x="176"/>
        <item x="352"/>
        <item x="407"/>
        <item x="59"/>
        <item x="224"/>
        <item x="471"/>
        <item x="282"/>
        <item x="722"/>
        <item x="818"/>
        <item x="599"/>
        <item x="455"/>
        <item x="12"/>
        <item x="615"/>
        <item x="486"/>
        <item x="93"/>
        <item x="677"/>
        <item x="584"/>
        <item x="564"/>
        <item x="62"/>
        <item x="717"/>
        <item x="712"/>
        <item x="273"/>
        <item x="743"/>
        <item x="226"/>
        <item x="71"/>
        <item x="311"/>
        <item x="304"/>
        <item x="399"/>
        <item x="580"/>
        <item x="367"/>
        <item x="517"/>
        <item x="631"/>
        <item x="349"/>
        <item x="370"/>
        <item x="300"/>
        <item x="588"/>
        <item x="302"/>
        <item x="612"/>
        <item x="838"/>
        <item x="343"/>
        <item x="812"/>
        <item x="76"/>
        <item x="305"/>
        <item x="107"/>
        <item x="552"/>
        <item x="604"/>
        <item x="792"/>
        <item x="610"/>
        <item x="830"/>
        <item x="839"/>
        <item x="684"/>
        <item x="705"/>
        <item x="713"/>
        <item x="171"/>
        <item x="523"/>
        <item x="569"/>
        <item x="776"/>
        <item x="778"/>
        <item x="177"/>
        <item x="106"/>
        <item x="88"/>
        <item x="299"/>
        <item x="229"/>
        <item x="13"/>
        <item x="124"/>
        <item x="670"/>
        <item x="656"/>
        <item x="223"/>
        <item x="331"/>
        <item x="547"/>
        <item x="77"/>
        <item x="702"/>
        <item x="451"/>
        <item x="765"/>
        <item x="44"/>
        <item x="759"/>
        <item x="810"/>
        <item x="129"/>
        <item x="441"/>
        <item x="258"/>
        <item x="19"/>
        <item x="262"/>
        <item x="817"/>
        <item x="342"/>
        <item x="731"/>
        <item x="397"/>
        <item x="627"/>
        <item x="358"/>
        <item x="119"/>
        <item x="293"/>
        <item x="395"/>
        <item x="179"/>
        <item x="270"/>
        <item x="802"/>
        <item x="516"/>
        <item x="193"/>
        <item x="737"/>
        <item x="834"/>
        <item x="409"/>
        <item x="281"/>
        <item x="247"/>
        <item x="7"/>
        <item x="582"/>
        <item x="194"/>
        <item x="548"/>
        <item x="836"/>
        <item x="373"/>
        <item x="277"/>
        <item x="426"/>
        <item x="145"/>
        <item x="337"/>
        <item x="502"/>
        <item x="61"/>
        <item x="703"/>
        <item x="150"/>
        <item x="691"/>
        <item x="680"/>
        <item x="87"/>
        <item x="37"/>
        <item x="295"/>
        <item x="648"/>
        <item x="232"/>
        <item x="545"/>
        <item x="782"/>
        <item x="626"/>
        <item x="357"/>
        <item x="683"/>
        <item x="190"/>
        <item x="147"/>
        <item x="228"/>
        <item x="534"/>
        <item x="278"/>
        <item x="79"/>
        <item x="544"/>
        <item x="54"/>
        <item x="493"/>
        <item x="413"/>
        <item x="774"/>
        <item x="763"/>
        <item x="555"/>
        <item x="565"/>
        <item x="137"/>
        <item x="325"/>
        <item x="709"/>
        <item x="590"/>
        <item x="125"/>
        <item x="597"/>
        <item x="318"/>
        <item x="686"/>
        <item x="813"/>
        <item x="674"/>
        <item x="118"/>
        <item x="158"/>
        <item x="489"/>
        <item x="732"/>
        <item x="275"/>
        <item x="203"/>
        <item x="553"/>
        <item x="353"/>
        <item x="168"/>
        <item x="671"/>
        <item x="160"/>
        <item x="425"/>
        <item x="221"/>
        <item x="81"/>
        <item x="111"/>
        <item x="639"/>
        <item x="625"/>
        <item x="64"/>
        <item x="540"/>
        <item x="787"/>
        <item x="130"/>
        <item x="469"/>
        <item x="616"/>
        <item x="9"/>
        <item x="842"/>
        <item x="715"/>
        <item x="492"/>
        <item x="298"/>
        <item x="366"/>
        <item x="769"/>
        <item x="132"/>
        <item x="624"/>
        <item x="577"/>
        <item x="254"/>
        <item x="139"/>
        <item x="84"/>
        <item x="526"/>
        <item x="383"/>
        <item x="341"/>
        <item x="114"/>
        <item x="647"/>
        <item x="181"/>
        <item x="189"/>
        <item x="135"/>
        <item x="307"/>
        <item x="288"/>
        <item x="91"/>
        <item x="477"/>
        <item x="347"/>
        <item x="377"/>
        <item x="49"/>
        <item x="697"/>
        <item x="824"/>
        <item x="700"/>
        <item x="348"/>
        <item x="227"/>
        <item x="488"/>
        <item x="681"/>
        <item x="784"/>
        <item x="827"/>
        <item x="816"/>
        <item x="362"/>
        <item x="662"/>
        <item x="558"/>
        <item x="669"/>
        <item x="652"/>
        <item x="448"/>
        <item x="430"/>
        <item x="796"/>
        <item x="164"/>
        <item x="47"/>
        <item x="35"/>
        <item x="38"/>
        <item x="214"/>
        <item x="36"/>
        <item x="103"/>
        <item x="513"/>
        <item x="515"/>
        <item x="321"/>
        <item x="173"/>
        <item x="322"/>
        <item x="453"/>
        <item x="562"/>
        <item x="90"/>
        <item x="156"/>
        <item x="69"/>
        <item x="598"/>
        <item x="490"/>
        <item x="790"/>
        <item x="392"/>
        <item x="419"/>
        <item x="151"/>
        <item x="554"/>
        <item x="94"/>
        <item x="335"/>
        <item x="332"/>
        <item x="773"/>
        <item x="40"/>
        <item x="525"/>
        <item x="6"/>
        <item x="483"/>
        <item x="216"/>
        <item x="530"/>
        <item x="123"/>
        <item x="272"/>
        <item x="637"/>
        <item x="82"/>
        <item x="645"/>
        <item x="211"/>
        <item x="191"/>
        <item x="283"/>
        <item x="416"/>
        <item x="511"/>
        <item x="266"/>
        <item x="527"/>
        <item x="660"/>
        <item x="120"/>
        <item x="804"/>
        <item x="724"/>
        <item x="245"/>
        <item x="100"/>
        <item x="403"/>
        <item x="66"/>
        <item x="420"/>
        <item x="772"/>
        <item x="439"/>
        <item x="34"/>
        <item x="144"/>
        <item x="444"/>
        <item x="454"/>
        <item x="429"/>
        <item x="263"/>
        <item x="167"/>
        <item x="664"/>
        <item x="391"/>
        <item x="386"/>
        <item x="688"/>
        <item x="694"/>
        <item x="268"/>
        <item x="350"/>
        <item x="172"/>
        <item x="806"/>
        <item x="56"/>
        <item x="487"/>
        <item x="166"/>
        <item x="678"/>
        <item x="746"/>
        <item x="593"/>
        <item x="689"/>
        <item x="310"/>
        <item x="421"/>
        <item x="807"/>
        <item x="601"/>
        <item x="835"/>
        <item x="609"/>
        <item x="446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6">
        <item x="2"/>
        <item x="3"/>
        <item x="0"/>
        <item x="4"/>
        <item x="1"/>
        <item t="default"/>
      </items>
    </pivotField>
  </pivotFields>
  <rowFields count="1">
    <field x="5"/>
  </rowFields>
  <rowItems count="7">
    <i>
      <x v="5"/>
    </i>
    <i>
      <x/>
    </i>
    <i>
      <x v="4"/>
    </i>
    <i>
      <x v="1"/>
    </i>
    <i>
      <x v="3"/>
    </i>
    <i>
      <x v="2"/>
    </i>
    <i t="grand">
      <x/>
    </i>
  </rowItems>
  <colItems count="1">
    <i/>
  </colItems>
  <dataFields count="1">
    <dataField name="Sum of Monthly_Spending_INR" fld="8" baseField="0" baseItem="0"/>
  </dataFields>
  <formats count="16">
    <format dxfId="36">
      <pivotArea outline="0" collapsedLevelsAreSubtotals="1" fieldPosition="0"/>
    </format>
    <format dxfId="35">
      <pivotArea field="1" type="button" dataOnly="0" labelOnly="1" outline="0"/>
    </format>
    <format dxfId="34">
      <pivotArea dataOnly="0" labelOnly="1" grandRow="1" outline="0" fieldPosition="0"/>
    </format>
    <format dxfId="33">
      <pivotArea dataOnly="0" labelOnly="1" grandCol="1" outline="0" fieldPosition="0"/>
    </format>
    <format dxfId="32">
      <pivotArea outline="0" collapsedLevelsAreSubtotals="1" fieldPosition="0"/>
    </format>
    <format dxfId="31">
      <pivotArea field="1" type="button" dataOnly="0" labelOnly="1" outline="0"/>
    </format>
    <format dxfId="30">
      <pivotArea dataOnly="0" labelOnly="1" grandRow="1" outline="0" fieldPosition="0"/>
    </format>
    <format dxfId="29">
      <pivotArea dataOnly="0" labelOnly="1" grandCol="1" outline="0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fieldPosition="0">
        <references count="1">
          <reference field="5" count="0"/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5" type="button" dataOnly="0" labelOnly="1" outline="0" axis="axisRow" fieldPosition="0"/>
    </format>
    <format dxfId="23">
      <pivotArea dataOnly="0" labelOnly="1" fieldPosition="0">
        <references count="1">
          <reference field="5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62F17-26D5-41E5-93AB-16D197CE65AA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tatisfaction Level / Rating">
  <location ref="A89:D96" firstHeaderRow="1" firstDataRow="2" firstDataCol="1"/>
  <pivotFields count="14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>
      <items count="7">
        <item x="2"/>
        <item x="0"/>
        <item x="3"/>
        <item x="1"/>
        <item x="4"/>
        <item x="5"/>
        <item t="default"/>
      </items>
    </pivotField>
    <pivotField showAll="0">
      <items count="27">
        <item x="18"/>
        <item x="17"/>
        <item x="4"/>
        <item x="0"/>
        <item x="8"/>
        <item x="25"/>
        <item x="1"/>
        <item x="14"/>
        <item x="19"/>
        <item x="13"/>
        <item x="11"/>
        <item x="5"/>
        <item x="16"/>
        <item x="20"/>
        <item x="24"/>
        <item x="23"/>
        <item x="10"/>
        <item x="7"/>
        <item x="21"/>
        <item x="3"/>
        <item x="6"/>
        <item x="22"/>
        <item x="2"/>
        <item x="9"/>
        <item x="12"/>
        <item x="15"/>
        <item t="default"/>
      </items>
    </pivotField>
    <pivotField showAll="0">
      <items count="9">
        <item x="0"/>
        <item x="2"/>
        <item x="6"/>
        <item x="4"/>
        <item x="5"/>
        <item x="1"/>
        <item x="7"/>
        <item x="3"/>
        <item t="default"/>
      </items>
    </pivotField>
    <pivotField showAll="0">
      <items count="844">
        <item x="271"/>
        <item x="315"/>
        <item x="744"/>
        <item x="665"/>
        <item x="360"/>
        <item x="432"/>
        <item x="433"/>
        <item x="210"/>
        <item x="108"/>
        <item x="606"/>
        <item x="825"/>
        <item x="385"/>
        <item x="789"/>
        <item x="475"/>
        <item x="474"/>
        <item x="783"/>
        <item x="533"/>
        <item x="470"/>
        <item x="196"/>
        <item x="618"/>
        <item x="274"/>
        <item x="643"/>
        <item x="695"/>
        <item x="729"/>
        <item x="635"/>
        <item x="617"/>
        <item x="0"/>
        <item x="51"/>
        <item x="422"/>
        <item x="822"/>
        <item x="799"/>
        <item x="529"/>
        <item x="532"/>
        <item x="246"/>
        <item x="793"/>
        <item x="476"/>
        <item x="679"/>
        <item x="468"/>
        <item x="434"/>
        <item x="361"/>
        <item x="267"/>
        <item x="33"/>
        <item x="723"/>
        <item x="23"/>
        <item x="29"/>
        <item x="795"/>
        <item x="751"/>
        <item x="587"/>
        <item x="159"/>
        <item x="4"/>
        <item x="375"/>
        <item x="317"/>
        <item x="568"/>
        <item x="73"/>
        <item x="393"/>
        <item x="646"/>
        <item x="314"/>
        <item x="442"/>
        <item x="115"/>
        <item x="811"/>
        <item x="820"/>
        <item x="605"/>
        <item x="117"/>
        <item x="461"/>
        <item x="346"/>
        <item x="509"/>
        <item x="380"/>
        <item x="658"/>
        <item x="750"/>
        <item x="510"/>
        <item x="387"/>
        <item x="25"/>
        <item x="212"/>
        <item x="32"/>
        <item x="537"/>
        <item x="655"/>
        <item x="333"/>
        <item x="498"/>
        <item x="67"/>
        <item x="338"/>
        <item x="143"/>
        <item x="65"/>
        <item x="748"/>
        <item x="110"/>
        <item x="249"/>
        <item x="809"/>
        <item x="312"/>
        <item x="745"/>
        <item x="586"/>
        <item x="581"/>
        <item x="225"/>
        <item x="736"/>
        <item x="102"/>
        <item x="823"/>
        <item x="780"/>
        <item x="116"/>
        <item x="256"/>
        <item x="504"/>
        <item x="236"/>
        <item x="747"/>
        <item x="27"/>
        <item x="585"/>
        <item x="207"/>
        <item x="235"/>
        <item x="197"/>
        <item x="17"/>
        <item x="728"/>
        <item x="701"/>
        <item x="184"/>
        <item x="402"/>
        <item x="313"/>
        <item x="738"/>
        <item x="303"/>
        <item x="368"/>
        <item x="485"/>
        <item x="26"/>
        <item x="290"/>
        <item x="786"/>
        <item x="161"/>
        <item x="682"/>
        <item x="600"/>
        <item x="414"/>
        <item x="28"/>
        <item x="496"/>
        <item x="309"/>
        <item x="714"/>
        <item x="508"/>
        <item x="50"/>
        <item x="10"/>
        <item x="536"/>
        <item x="447"/>
        <item x="92"/>
        <item x="356"/>
        <item x="334"/>
        <item x="359"/>
        <item x="237"/>
        <item x="491"/>
        <item x="52"/>
        <item x="559"/>
        <item x="693"/>
        <item x="756"/>
        <item x="663"/>
        <item x="692"/>
        <item x="456"/>
        <item x="109"/>
        <item x="570"/>
        <item x="24"/>
        <item x="528"/>
        <item x="319"/>
        <item x="539"/>
        <item x="591"/>
        <item x="336"/>
        <item x="141"/>
        <item x="460"/>
        <item x="202"/>
        <item x="808"/>
        <item x="415"/>
        <item x="788"/>
        <item x="466"/>
        <item x="253"/>
        <item x="463"/>
        <item x="378"/>
        <item x="390"/>
        <item x="113"/>
        <item x="739"/>
        <item x="96"/>
        <item x="374"/>
        <item x="389"/>
        <item x="388"/>
        <item x="340"/>
        <item x="122"/>
        <item x="384"/>
        <item x="22"/>
        <item x="768"/>
        <item x="730"/>
        <item x="435"/>
        <item x="719"/>
        <item x="640"/>
        <item x="287"/>
        <item x="345"/>
        <item x="149"/>
        <item x="208"/>
        <item x="162"/>
        <item x="644"/>
        <item x="704"/>
        <item x="261"/>
        <item x="629"/>
        <item x="494"/>
        <item x="306"/>
        <item x="445"/>
        <item x="557"/>
        <item x="30"/>
        <item x="286"/>
        <item x="479"/>
        <item x="583"/>
        <item x="11"/>
        <item x="452"/>
        <item x="428"/>
        <item x="351"/>
        <item x="431"/>
        <item x="734"/>
        <item x="222"/>
        <item x="328"/>
        <item x="821"/>
        <item x="505"/>
        <item x="764"/>
        <item x="462"/>
        <item x="654"/>
        <item x="676"/>
        <item x="276"/>
        <item x="18"/>
        <item x="595"/>
        <item x="279"/>
        <item x="424"/>
        <item x="749"/>
        <item x="752"/>
        <item x="840"/>
        <item x="607"/>
        <item x="285"/>
        <item x="798"/>
        <item x="566"/>
        <item x="296"/>
        <item x="803"/>
        <item x="672"/>
        <item x="733"/>
        <item x="178"/>
        <item x="201"/>
        <item x="5"/>
        <item x="651"/>
        <item x="284"/>
        <item x="95"/>
        <item x="238"/>
        <item x="760"/>
        <item x="841"/>
        <item x="706"/>
        <item x="185"/>
        <item x="289"/>
        <item x="642"/>
        <item x="264"/>
        <item x="519"/>
        <item x="400"/>
        <item x="186"/>
        <item x="630"/>
        <item x="215"/>
        <item x="344"/>
        <item x="767"/>
        <item x="104"/>
        <item x="148"/>
        <item x="89"/>
        <item x="718"/>
        <item x="499"/>
        <item x="632"/>
        <item x="200"/>
        <item x="15"/>
        <item x="814"/>
        <item x="1"/>
        <item x="78"/>
        <item x="623"/>
        <item x="339"/>
        <item x="819"/>
        <item x="495"/>
        <item x="140"/>
        <item x="777"/>
        <item x="636"/>
        <item x="16"/>
        <item x="457"/>
        <item x="291"/>
        <item x="503"/>
        <item x="699"/>
        <item x="240"/>
        <item x="394"/>
        <item x="546"/>
        <item x="244"/>
        <item x="561"/>
        <item x="42"/>
        <item x="481"/>
        <item x="497"/>
        <item x="661"/>
        <item x="531"/>
        <item x="771"/>
        <item x="563"/>
        <item x="690"/>
        <item x="707"/>
        <item x="541"/>
        <item x="571"/>
        <item x="770"/>
        <item x="8"/>
        <item x="837"/>
        <item x="781"/>
        <item x="3"/>
        <item x="80"/>
        <item x="265"/>
        <item x="174"/>
        <item x="233"/>
        <item x="231"/>
        <item x="465"/>
        <item x="708"/>
        <item x="206"/>
        <item x="506"/>
        <item x="58"/>
        <item x="68"/>
        <item x="105"/>
        <item x="794"/>
        <item x="560"/>
        <item x="369"/>
        <item x="99"/>
        <item x="727"/>
        <item x="230"/>
        <item x="633"/>
        <item x="165"/>
        <item x="443"/>
        <item x="725"/>
        <item x="740"/>
        <item x="250"/>
        <item x="576"/>
        <item x="696"/>
        <item x="363"/>
        <item x="170"/>
        <item x="427"/>
        <item x="128"/>
        <item x="514"/>
        <item x="410"/>
        <item x="320"/>
        <item x="829"/>
        <item x="75"/>
        <item x="417"/>
        <item x="638"/>
        <item x="21"/>
        <item x="762"/>
        <item x="589"/>
        <item x="85"/>
        <item x="549"/>
        <item x="218"/>
        <item x="188"/>
        <item x="797"/>
        <item x="60"/>
        <item x="805"/>
        <item x="726"/>
        <item x="649"/>
        <item x="621"/>
        <item x="294"/>
        <item x="381"/>
        <item x="243"/>
        <item x="74"/>
        <item x="217"/>
        <item x="608"/>
        <item x="711"/>
        <item x="297"/>
        <item x="163"/>
        <item x="831"/>
        <item x="826"/>
        <item x="535"/>
        <item x="406"/>
        <item x="438"/>
        <item x="379"/>
        <item x="575"/>
        <item x="775"/>
        <item x="449"/>
        <item x="43"/>
        <item x="622"/>
        <item x="619"/>
        <item x="628"/>
        <item x="327"/>
        <item x="404"/>
        <item x="55"/>
        <item x="382"/>
        <item x="828"/>
        <item x="667"/>
        <item x="154"/>
        <item x="653"/>
        <item x="329"/>
        <item x="641"/>
        <item x="260"/>
        <item x="133"/>
        <item x="801"/>
        <item x="408"/>
        <item x="741"/>
        <item x="500"/>
        <item x="832"/>
        <item x="666"/>
        <item x="316"/>
        <item x="112"/>
        <item x="484"/>
        <item x="152"/>
        <item x="458"/>
        <item x="301"/>
        <item x="372"/>
        <item x="467"/>
        <item x="721"/>
        <item x="180"/>
        <item x="779"/>
        <item x="252"/>
        <item x="551"/>
        <item x="757"/>
        <item x="579"/>
        <item x="440"/>
        <item x="450"/>
        <item x="791"/>
        <item x="650"/>
        <item x="195"/>
        <item x="131"/>
        <item x="257"/>
        <item x="668"/>
        <item x="323"/>
        <item x="86"/>
        <item x="192"/>
        <item x="376"/>
        <item x="97"/>
        <item x="755"/>
        <item x="241"/>
        <item x="507"/>
        <item x="436"/>
        <item x="742"/>
        <item x="613"/>
        <item x="521"/>
        <item x="354"/>
        <item x="574"/>
        <item x="259"/>
        <item x="127"/>
        <item x="614"/>
        <item x="330"/>
        <item x="365"/>
        <item x="567"/>
        <item x="398"/>
        <item x="371"/>
        <item x="205"/>
        <item x="187"/>
        <item x="766"/>
        <item x="620"/>
        <item x="753"/>
        <item x="239"/>
        <item x="142"/>
        <item x="280"/>
        <item x="292"/>
        <item x="46"/>
        <item x="543"/>
        <item x="710"/>
        <item x="45"/>
        <item x="482"/>
        <item x="800"/>
        <item x="182"/>
        <item x="155"/>
        <item x="735"/>
        <item x="720"/>
        <item x="538"/>
        <item x="269"/>
        <item x="572"/>
        <item x="242"/>
        <item x="101"/>
        <item x="14"/>
        <item x="308"/>
        <item x="157"/>
        <item x="20"/>
        <item x="758"/>
        <item x="98"/>
        <item x="550"/>
        <item x="611"/>
        <item x="72"/>
        <item x="57"/>
        <item x="761"/>
        <item x="364"/>
        <item x="146"/>
        <item x="83"/>
        <item x="437"/>
        <item x="603"/>
        <item x="522"/>
        <item x="401"/>
        <item x="63"/>
        <item x="324"/>
        <item x="596"/>
        <item x="594"/>
        <item x="209"/>
        <item x="2"/>
        <item x="121"/>
        <item x="634"/>
        <item x="464"/>
        <item x="138"/>
        <item x="219"/>
        <item x="478"/>
        <item x="326"/>
        <item x="220"/>
        <item x="412"/>
        <item x="754"/>
        <item x="480"/>
        <item x="204"/>
        <item x="53"/>
        <item x="411"/>
        <item x="592"/>
        <item x="70"/>
        <item x="556"/>
        <item x="396"/>
        <item x="815"/>
        <item x="602"/>
        <item x="136"/>
        <item x="472"/>
        <item x="518"/>
        <item x="542"/>
        <item x="512"/>
        <item x="685"/>
        <item x="459"/>
        <item x="520"/>
        <item x="405"/>
        <item x="673"/>
        <item x="213"/>
        <item x="126"/>
        <item x="255"/>
        <item x="833"/>
        <item x="48"/>
        <item x="659"/>
        <item x="134"/>
        <item x="418"/>
        <item x="198"/>
        <item x="234"/>
        <item x="716"/>
        <item x="183"/>
        <item x="785"/>
        <item x="524"/>
        <item x="675"/>
        <item x="251"/>
        <item x="41"/>
        <item x="175"/>
        <item x="153"/>
        <item x="687"/>
        <item x="578"/>
        <item x="31"/>
        <item x="573"/>
        <item x="248"/>
        <item x="169"/>
        <item x="501"/>
        <item x="698"/>
        <item x="657"/>
        <item x="39"/>
        <item x="199"/>
        <item x="473"/>
        <item x="423"/>
        <item x="355"/>
        <item x="176"/>
        <item x="352"/>
        <item x="407"/>
        <item x="59"/>
        <item x="224"/>
        <item x="471"/>
        <item x="282"/>
        <item x="722"/>
        <item x="818"/>
        <item x="599"/>
        <item x="455"/>
        <item x="12"/>
        <item x="615"/>
        <item x="486"/>
        <item x="93"/>
        <item x="677"/>
        <item x="584"/>
        <item x="564"/>
        <item x="62"/>
        <item x="717"/>
        <item x="712"/>
        <item x="273"/>
        <item x="743"/>
        <item x="226"/>
        <item x="71"/>
        <item x="311"/>
        <item x="304"/>
        <item x="399"/>
        <item x="580"/>
        <item x="367"/>
        <item x="517"/>
        <item x="631"/>
        <item x="349"/>
        <item x="370"/>
        <item x="300"/>
        <item x="588"/>
        <item x="302"/>
        <item x="612"/>
        <item x="838"/>
        <item x="343"/>
        <item x="812"/>
        <item x="76"/>
        <item x="305"/>
        <item x="107"/>
        <item x="552"/>
        <item x="604"/>
        <item x="792"/>
        <item x="610"/>
        <item x="830"/>
        <item x="839"/>
        <item x="684"/>
        <item x="705"/>
        <item x="713"/>
        <item x="171"/>
        <item x="523"/>
        <item x="569"/>
        <item x="776"/>
        <item x="778"/>
        <item x="177"/>
        <item x="106"/>
        <item x="88"/>
        <item x="299"/>
        <item x="229"/>
        <item x="13"/>
        <item x="124"/>
        <item x="670"/>
        <item x="656"/>
        <item x="223"/>
        <item x="331"/>
        <item x="547"/>
        <item x="77"/>
        <item x="702"/>
        <item x="451"/>
        <item x="765"/>
        <item x="44"/>
        <item x="759"/>
        <item x="810"/>
        <item x="129"/>
        <item x="441"/>
        <item x="258"/>
        <item x="19"/>
        <item x="262"/>
        <item x="817"/>
        <item x="342"/>
        <item x="731"/>
        <item x="397"/>
        <item x="627"/>
        <item x="358"/>
        <item x="119"/>
        <item x="293"/>
        <item x="395"/>
        <item x="179"/>
        <item x="270"/>
        <item x="802"/>
        <item x="516"/>
        <item x="193"/>
        <item x="737"/>
        <item x="834"/>
        <item x="409"/>
        <item x="281"/>
        <item x="247"/>
        <item x="7"/>
        <item x="582"/>
        <item x="194"/>
        <item x="548"/>
        <item x="836"/>
        <item x="373"/>
        <item x="277"/>
        <item x="426"/>
        <item x="145"/>
        <item x="337"/>
        <item x="502"/>
        <item x="61"/>
        <item x="703"/>
        <item x="150"/>
        <item x="691"/>
        <item x="680"/>
        <item x="87"/>
        <item x="37"/>
        <item x="295"/>
        <item x="648"/>
        <item x="232"/>
        <item x="545"/>
        <item x="782"/>
        <item x="626"/>
        <item x="357"/>
        <item x="683"/>
        <item x="190"/>
        <item x="147"/>
        <item x="228"/>
        <item x="534"/>
        <item x="278"/>
        <item x="79"/>
        <item x="544"/>
        <item x="54"/>
        <item x="493"/>
        <item x="413"/>
        <item x="774"/>
        <item x="763"/>
        <item x="555"/>
        <item x="565"/>
        <item x="137"/>
        <item x="325"/>
        <item x="709"/>
        <item x="590"/>
        <item x="125"/>
        <item x="597"/>
        <item x="318"/>
        <item x="686"/>
        <item x="813"/>
        <item x="674"/>
        <item x="118"/>
        <item x="158"/>
        <item x="489"/>
        <item x="732"/>
        <item x="275"/>
        <item x="203"/>
        <item x="553"/>
        <item x="353"/>
        <item x="168"/>
        <item x="671"/>
        <item x="160"/>
        <item x="425"/>
        <item x="221"/>
        <item x="81"/>
        <item x="111"/>
        <item x="639"/>
        <item x="625"/>
        <item x="64"/>
        <item x="540"/>
        <item x="787"/>
        <item x="130"/>
        <item x="469"/>
        <item x="616"/>
        <item x="9"/>
        <item x="842"/>
        <item x="715"/>
        <item x="492"/>
        <item x="298"/>
        <item x="366"/>
        <item x="769"/>
        <item x="132"/>
        <item x="624"/>
        <item x="577"/>
        <item x="254"/>
        <item x="139"/>
        <item x="84"/>
        <item x="526"/>
        <item x="383"/>
        <item x="341"/>
        <item x="114"/>
        <item x="647"/>
        <item x="181"/>
        <item x="189"/>
        <item x="135"/>
        <item x="307"/>
        <item x="288"/>
        <item x="91"/>
        <item x="477"/>
        <item x="347"/>
        <item x="377"/>
        <item x="49"/>
        <item x="697"/>
        <item x="824"/>
        <item x="700"/>
        <item x="348"/>
        <item x="227"/>
        <item x="488"/>
        <item x="681"/>
        <item x="784"/>
        <item x="827"/>
        <item x="816"/>
        <item x="362"/>
        <item x="662"/>
        <item x="558"/>
        <item x="669"/>
        <item x="652"/>
        <item x="448"/>
        <item x="430"/>
        <item x="796"/>
        <item x="164"/>
        <item x="47"/>
        <item x="35"/>
        <item x="38"/>
        <item x="214"/>
        <item x="36"/>
        <item x="103"/>
        <item x="513"/>
        <item x="515"/>
        <item x="321"/>
        <item x="173"/>
        <item x="322"/>
        <item x="453"/>
        <item x="562"/>
        <item x="90"/>
        <item x="156"/>
        <item x="69"/>
        <item x="598"/>
        <item x="490"/>
        <item x="790"/>
        <item x="392"/>
        <item x="419"/>
        <item x="151"/>
        <item x="554"/>
        <item x="94"/>
        <item x="335"/>
        <item x="332"/>
        <item x="773"/>
        <item x="40"/>
        <item x="525"/>
        <item x="6"/>
        <item x="483"/>
        <item x="216"/>
        <item x="530"/>
        <item x="123"/>
        <item x="272"/>
        <item x="637"/>
        <item x="82"/>
        <item x="645"/>
        <item x="211"/>
        <item x="191"/>
        <item x="283"/>
        <item x="416"/>
        <item x="511"/>
        <item x="266"/>
        <item x="527"/>
        <item x="660"/>
        <item x="120"/>
        <item x="804"/>
        <item x="724"/>
        <item x="245"/>
        <item x="100"/>
        <item x="403"/>
        <item x="66"/>
        <item x="420"/>
        <item x="772"/>
        <item x="439"/>
        <item x="34"/>
        <item x="144"/>
        <item x="444"/>
        <item x="454"/>
        <item x="429"/>
        <item x="263"/>
        <item x="167"/>
        <item x="664"/>
        <item x="391"/>
        <item x="386"/>
        <item x="688"/>
        <item x="694"/>
        <item x="268"/>
        <item x="350"/>
        <item x="172"/>
        <item x="806"/>
        <item x="56"/>
        <item x="487"/>
        <item x="166"/>
        <item x="678"/>
        <item x="746"/>
        <item x="593"/>
        <item x="689"/>
        <item x="310"/>
        <item x="421"/>
        <item x="807"/>
        <item x="601"/>
        <item x="835"/>
        <item x="609"/>
        <item x="446"/>
        <item t="default"/>
      </items>
    </pivotField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Row" showAll="0">
      <items count="6">
        <item x="2"/>
        <item x="3"/>
        <item x="0"/>
        <item x="4"/>
        <item x="1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Subscription_Status" fld="11" subtotal="count" baseField="0" baseItem="0"/>
  </dataFields>
  <formats count="21">
    <format dxfId="57">
      <pivotArea outline="0" collapsedLevelsAreSubtotals="1" fieldPosition="0"/>
    </format>
    <format dxfId="56">
      <pivotArea field="1" type="button" dataOnly="0" labelOnly="1" outline="0"/>
    </format>
    <format dxfId="55">
      <pivotArea dataOnly="0" labelOnly="1" grandRow="1" outline="0" fieldPosition="0"/>
    </format>
    <format dxfId="54">
      <pivotArea dataOnly="0" labelOnly="1" grandCol="1" outline="0" fieldPosition="0"/>
    </format>
    <format dxfId="53">
      <pivotArea outline="0" collapsedLevelsAreSubtotals="1" fieldPosition="0"/>
    </format>
    <format dxfId="52">
      <pivotArea field="1" type="button" dataOnly="0" labelOnly="1" outline="0"/>
    </format>
    <format dxfId="51">
      <pivotArea dataOnly="0" labelOnly="1" grandRow="1" outline="0" fieldPosition="0"/>
    </format>
    <format dxfId="50">
      <pivotArea dataOnly="0" labelOnly="1" grandCol="1" outline="0" fieldPosition="0"/>
    </format>
    <format dxfId="49">
      <pivotArea dataOnly="0" labelOnly="1" fieldPosition="0">
        <references count="1">
          <reference field="13" count="0"/>
        </references>
      </pivotArea>
    </format>
    <format dxfId="48">
      <pivotArea dataOnly="0" labelOnly="1" fieldPosition="0">
        <references count="1">
          <reference field="13" count="0"/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11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13" type="button" dataOnly="0" labelOnly="1" outline="0" axis="axisRow" fieldPosition="0"/>
    </format>
    <format dxfId="41">
      <pivotArea dataOnly="0" labelOnly="1" fieldPosition="0">
        <references count="1">
          <reference field="13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11" count="0"/>
        </references>
      </pivotArea>
    </format>
    <format dxfId="38">
      <pivotArea dataOnly="0" labelOnly="1" grandCol="1" outline="0" fieldPosition="0"/>
    </format>
    <format dxfId="37">
      <pivotArea dataOnly="0" labelOnly="1" fieldPosition="0">
        <references count="1">
          <reference field="11" count="0"/>
        </references>
      </pivotArea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BF381-CB4D-4FC9-AB5E-1E47C97BC253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79:B183" firstHeaderRow="1" firstDataRow="1" firstDataCol="1"/>
  <pivotFields count="14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ducation_Level" fld="4" subtotal="count" baseField="0" baseItem="0"/>
  </dataFields>
  <formats count="2">
    <format dxfId="1">
      <pivotArea dataOnly="0" outline="0" axis="axisValues" fieldPosition="0"/>
    </format>
    <format dxfId="0">
      <pivotArea dataOnly="0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F7205-CB33-46FE-9F3A-A3C1F5797DE8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45:J150" firstHeaderRow="1" firstDataRow="2" firstDataCol="1" rowPageCount="1" colPageCount="1"/>
  <pivotFields count="14"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multipleItemSelectionAllowed="1" showAll="0">
      <items count="4">
        <item h="1" x="0"/>
        <item h="1" x="2"/>
        <item x="1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9">
        <item x="3"/>
        <item x="4"/>
        <item x="0"/>
        <item x="1"/>
        <item x="6"/>
        <item x="2"/>
        <item x="5"/>
        <item x="7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3" hier="-1"/>
  </pageFields>
  <dataFields count="1">
    <dataField name="Sum of Monthly_Spending_INR" fld="8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BF4-8F64-4306-8295-D11CF8A3FB0C}">
  <dimension ref="A3:B30"/>
  <sheetViews>
    <sheetView topLeftCell="A10" workbookViewId="0">
      <selection activeCell="A13" sqref="A13:XFD13"/>
    </sheetView>
  </sheetViews>
  <sheetFormatPr defaultRowHeight="15" x14ac:dyDescent="0.25"/>
  <cols>
    <col min="1" max="1" width="12.42578125" bestFit="1" customWidth="1"/>
    <col min="2" max="2" width="34.5703125" bestFit="1" customWidth="1"/>
  </cols>
  <sheetData>
    <row r="3" spans="1:2" x14ac:dyDescent="0.25">
      <c r="A3" s="1" t="s">
        <v>51</v>
      </c>
      <c r="B3" t="s">
        <v>76</v>
      </c>
    </row>
    <row r="4" spans="1:2" x14ac:dyDescent="0.25">
      <c r="A4" s="2">
        <v>17</v>
      </c>
      <c r="B4">
        <v>51</v>
      </c>
    </row>
    <row r="5" spans="1:2" x14ac:dyDescent="0.25">
      <c r="A5" s="2">
        <v>9</v>
      </c>
      <c r="B5">
        <v>46</v>
      </c>
    </row>
    <row r="6" spans="1:2" x14ac:dyDescent="0.25">
      <c r="A6" s="2">
        <v>22</v>
      </c>
      <c r="B6">
        <v>46</v>
      </c>
    </row>
    <row r="7" spans="1:2" x14ac:dyDescent="0.25">
      <c r="A7" s="2">
        <v>8</v>
      </c>
      <c r="B7">
        <v>46</v>
      </c>
    </row>
    <row r="8" spans="1:2" x14ac:dyDescent="0.25">
      <c r="A8" s="2">
        <v>23</v>
      </c>
      <c r="B8">
        <v>44</v>
      </c>
    </row>
    <row r="9" spans="1:2" x14ac:dyDescent="0.25">
      <c r="A9" s="2">
        <v>18</v>
      </c>
      <c r="B9">
        <v>44</v>
      </c>
    </row>
    <row r="10" spans="1:2" x14ac:dyDescent="0.25">
      <c r="A10" s="2">
        <v>21</v>
      </c>
      <c r="B10">
        <v>43</v>
      </c>
    </row>
    <row r="11" spans="1:2" x14ac:dyDescent="0.25">
      <c r="A11" s="2">
        <v>26</v>
      </c>
      <c r="B11">
        <v>42</v>
      </c>
    </row>
    <row r="12" spans="1:2" x14ac:dyDescent="0.25">
      <c r="A12" s="2">
        <v>6</v>
      </c>
      <c r="B12">
        <v>42</v>
      </c>
    </row>
    <row r="13" spans="1:2" x14ac:dyDescent="0.25">
      <c r="A13" s="2">
        <v>11</v>
      </c>
      <c r="B13">
        <v>40</v>
      </c>
    </row>
    <row r="14" spans="1:2" x14ac:dyDescent="0.25">
      <c r="A14" s="2">
        <v>12</v>
      </c>
      <c r="B14">
        <v>38</v>
      </c>
    </row>
    <row r="15" spans="1:2" x14ac:dyDescent="0.25">
      <c r="A15" s="2">
        <v>20</v>
      </c>
      <c r="B15">
        <v>38</v>
      </c>
    </row>
    <row r="16" spans="1:2" x14ac:dyDescent="0.25">
      <c r="A16" s="2">
        <v>25</v>
      </c>
      <c r="B16">
        <v>37</v>
      </c>
    </row>
    <row r="17" spans="1:2" x14ac:dyDescent="0.25">
      <c r="A17" s="2">
        <v>15</v>
      </c>
      <c r="B17">
        <v>37</v>
      </c>
    </row>
    <row r="18" spans="1:2" x14ac:dyDescent="0.25">
      <c r="A18" s="2">
        <v>13</v>
      </c>
      <c r="B18">
        <v>37</v>
      </c>
    </row>
    <row r="19" spans="1:2" x14ac:dyDescent="0.25">
      <c r="A19" s="2">
        <v>19</v>
      </c>
      <c r="B19">
        <v>37</v>
      </c>
    </row>
    <row r="20" spans="1:2" x14ac:dyDescent="0.25">
      <c r="A20" s="2">
        <v>27</v>
      </c>
      <c r="B20">
        <v>36</v>
      </c>
    </row>
    <row r="21" spans="1:2" x14ac:dyDescent="0.25">
      <c r="A21" s="2">
        <v>10</v>
      </c>
      <c r="B21">
        <v>36</v>
      </c>
    </row>
    <row r="22" spans="1:2" x14ac:dyDescent="0.25">
      <c r="A22" s="2">
        <v>7</v>
      </c>
      <c r="B22">
        <v>35</v>
      </c>
    </row>
    <row r="23" spans="1:2" x14ac:dyDescent="0.25">
      <c r="A23" s="2">
        <v>24</v>
      </c>
      <c r="B23">
        <v>35</v>
      </c>
    </row>
    <row r="24" spans="1:2" x14ac:dyDescent="0.25">
      <c r="A24" s="2">
        <v>28</v>
      </c>
      <c r="B24">
        <v>34</v>
      </c>
    </row>
    <row r="25" spans="1:2" x14ac:dyDescent="0.25">
      <c r="A25" s="2">
        <v>29</v>
      </c>
      <c r="B25">
        <v>32</v>
      </c>
    </row>
    <row r="26" spans="1:2" x14ac:dyDescent="0.25">
      <c r="A26" s="2">
        <v>14</v>
      </c>
      <c r="B26">
        <v>32</v>
      </c>
    </row>
    <row r="27" spans="1:2" x14ac:dyDescent="0.25">
      <c r="A27" s="2">
        <v>16</v>
      </c>
      <c r="B27">
        <v>32</v>
      </c>
    </row>
    <row r="28" spans="1:2" x14ac:dyDescent="0.25">
      <c r="A28" s="2">
        <v>5</v>
      </c>
      <c r="B28">
        <v>31</v>
      </c>
    </row>
    <row r="29" spans="1:2" x14ac:dyDescent="0.25">
      <c r="A29" s="2">
        <v>30</v>
      </c>
      <c r="B29">
        <v>29</v>
      </c>
    </row>
    <row r="30" spans="1:2" x14ac:dyDescent="0.25">
      <c r="A30" s="2" t="s">
        <v>52</v>
      </c>
      <c r="B30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5780-108C-4C7A-B26B-7462CF68F529}">
  <dimension ref="A1:J8"/>
  <sheetViews>
    <sheetView workbookViewId="0">
      <selection activeCell="L16" sqref="L16"/>
    </sheetView>
  </sheetViews>
  <sheetFormatPr defaultRowHeight="15" x14ac:dyDescent="0.25"/>
  <cols>
    <col min="1" max="1" width="29.140625" bestFit="1" customWidth="1"/>
    <col min="2" max="2" width="16.28515625" bestFit="1" customWidth="1"/>
    <col min="3" max="3" width="8.28515625" bestFit="1" customWidth="1"/>
    <col min="4" max="6" width="7" bestFit="1" customWidth="1"/>
    <col min="8" max="8" width="7" bestFit="1" customWidth="1"/>
    <col min="9" max="9" width="7.42578125" bestFit="1" customWidth="1"/>
    <col min="10" max="10" width="11.28515625" bestFit="1" customWidth="1"/>
  </cols>
  <sheetData>
    <row r="1" spans="1:10" x14ac:dyDescent="0.25">
      <c r="A1" s="1" t="s">
        <v>3</v>
      </c>
      <c r="B1" t="s">
        <v>92</v>
      </c>
    </row>
    <row r="3" spans="1:10" x14ac:dyDescent="0.25">
      <c r="A3" s="1" t="s">
        <v>84</v>
      </c>
      <c r="B3" s="1" t="s">
        <v>55</v>
      </c>
    </row>
    <row r="4" spans="1:10" x14ac:dyDescent="0.25">
      <c r="A4" s="1" t="s">
        <v>51</v>
      </c>
      <c r="B4" t="s">
        <v>41</v>
      </c>
      <c r="C4" t="s">
        <v>44</v>
      </c>
      <c r="D4" t="s">
        <v>19</v>
      </c>
      <c r="E4" t="s">
        <v>27</v>
      </c>
      <c r="F4" t="s">
        <v>49</v>
      </c>
      <c r="G4" t="s">
        <v>35</v>
      </c>
      <c r="H4" t="s">
        <v>45</v>
      </c>
      <c r="I4" t="s">
        <v>50</v>
      </c>
      <c r="J4" t="s">
        <v>52</v>
      </c>
    </row>
    <row r="5" spans="1:10" x14ac:dyDescent="0.25">
      <c r="A5" s="2" t="s">
        <v>29</v>
      </c>
      <c r="B5">
        <v>65378</v>
      </c>
      <c r="C5">
        <v>66179</v>
      </c>
      <c r="D5">
        <v>87860</v>
      </c>
      <c r="E5">
        <v>82041</v>
      </c>
      <c r="F5">
        <v>48552</v>
      </c>
      <c r="G5">
        <v>58173</v>
      </c>
      <c r="H5">
        <v>70019</v>
      </c>
      <c r="I5">
        <v>57595</v>
      </c>
      <c r="J5">
        <v>535797</v>
      </c>
    </row>
    <row r="6" spans="1:10" x14ac:dyDescent="0.25">
      <c r="A6" s="2" t="s">
        <v>14</v>
      </c>
      <c r="B6">
        <v>55789</v>
      </c>
      <c r="C6">
        <v>70833</v>
      </c>
      <c r="D6">
        <v>53570</v>
      </c>
      <c r="E6">
        <v>56512</v>
      </c>
      <c r="F6">
        <v>53082</v>
      </c>
      <c r="G6">
        <v>68590</v>
      </c>
      <c r="H6">
        <v>77491</v>
      </c>
      <c r="I6">
        <v>68777</v>
      </c>
      <c r="J6">
        <v>504644</v>
      </c>
    </row>
    <row r="7" spans="1:10" x14ac:dyDescent="0.25">
      <c r="A7" s="2" t="s">
        <v>23</v>
      </c>
      <c r="B7">
        <v>54873</v>
      </c>
      <c r="C7">
        <v>65883</v>
      </c>
      <c r="D7">
        <v>74686</v>
      </c>
      <c r="E7">
        <v>50616</v>
      </c>
      <c r="F7">
        <v>50007</v>
      </c>
      <c r="G7">
        <v>67092</v>
      </c>
      <c r="H7">
        <v>68871</v>
      </c>
      <c r="I7">
        <v>65916</v>
      </c>
      <c r="J7">
        <v>497944</v>
      </c>
    </row>
    <row r="8" spans="1:10" x14ac:dyDescent="0.25">
      <c r="A8" s="2" t="s">
        <v>52</v>
      </c>
      <c r="B8">
        <v>176040</v>
      </c>
      <c r="C8">
        <v>202895</v>
      </c>
      <c r="D8">
        <v>216116</v>
      </c>
      <c r="E8">
        <v>189169</v>
      </c>
      <c r="F8">
        <v>151641</v>
      </c>
      <c r="G8">
        <v>193855</v>
      </c>
      <c r="H8">
        <v>216381</v>
      </c>
      <c r="I8">
        <v>192288</v>
      </c>
      <c r="J8">
        <v>1538385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/>
  </sheetViews>
  <sheetFormatPr defaultRowHeight="15" x14ac:dyDescent="0.25"/>
  <cols>
    <col min="1" max="1" width="13.7109375" bestFit="1" customWidth="1"/>
    <col min="6" max="6" width="11" customWidth="1"/>
    <col min="7" max="7" width="26.28515625" bestFit="1" customWidth="1"/>
    <col min="8" max="8" width="23.42578125" customWidth="1"/>
    <col min="9" max="9" width="23.28515625" style="4" customWidth="1"/>
    <col min="10" max="10" width="14.85546875" bestFit="1" customWidth="1"/>
    <col min="11" max="11" width="9.42578125" customWidth="1"/>
    <col min="12" max="12" width="9.5703125" customWidth="1"/>
    <col min="13" max="13" width="8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38</v>
      </c>
      <c r="C2" t="s">
        <v>14</v>
      </c>
      <c r="D2" t="s">
        <v>15</v>
      </c>
      <c r="E2" t="s">
        <v>16</v>
      </c>
      <c r="F2" t="s">
        <v>17</v>
      </c>
      <c r="G2" s="4">
        <v>8</v>
      </c>
      <c r="H2" t="s">
        <v>18</v>
      </c>
      <c r="I2" s="4">
        <v>102</v>
      </c>
      <c r="J2" t="s">
        <v>19</v>
      </c>
      <c r="K2" t="s">
        <v>20</v>
      </c>
      <c r="L2" t="s">
        <v>21</v>
      </c>
      <c r="M2" t="s">
        <v>22</v>
      </c>
      <c r="N2">
        <v>3</v>
      </c>
    </row>
    <row r="3" spans="1:14" x14ac:dyDescent="0.25">
      <c r="A3">
        <v>2</v>
      </c>
      <c r="B3">
        <v>20</v>
      </c>
      <c r="C3" t="s">
        <v>23</v>
      </c>
      <c r="D3" t="s">
        <v>15</v>
      </c>
      <c r="E3" t="s">
        <v>24</v>
      </c>
      <c r="F3" t="s">
        <v>25</v>
      </c>
      <c r="G3" s="4">
        <v>11</v>
      </c>
      <c r="H3" t="s">
        <v>26</v>
      </c>
      <c r="I3" s="4">
        <v>952</v>
      </c>
      <c r="J3" t="s">
        <v>27</v>
      </c>
      <c r="K3" t="s">
        <v>20</v>
      </c>
      <c r="L3" t="s">
        <v>28</v>
      </c>
      <c r="M3" t="s">
        <v>22</v>
      </c>
      <c r="N3">
        <v>5</v>
      </c>
    </row>
    <row r="4" spans="1:14" x14ac:dyDescent="0.25">
      <c r="A4">
        <v>3</v>
      </c>
      <c r="B4">
        <v>23</v>
      </c>
      <c r="C4" t="s">
        <v>29</v>
      </c>
      <c r="D4" t="s">
        <v>15</v>
      </c>
      <c r="E4" t="s">
        <v>16</v>
      </c>
      <c r="F4" t="s">
        <v>30</v>
      </c>
      <c r="G4" s="4">
        <v>27</v>
      </c>
      <c r="H4" t="s">
        <v>18</v>
      </c>
      <c r="I4" s="4">
        <v>1731</v>
      </c>
      <c r="J4" t="s">
        <v>19</v>
      </c>
      <c r="K4" t="s">
        <v>20</v>
      </c>
      <c r="L4" t="s">
        <v>21</v>
      </c>
      <c r="M4" t="s">
        <v>31</v>
      </c>
      <c r="N4">
        <v>3</v>
      </c>
    </row>
    <row r="5" spans="1:14" x14ac:dyDescent="0.25">
      <c r="A5">
        <v>4</v>
      </c>
      <c r="B5">
        <v>29</v>
      </c>
      <c r="C5" t="s">
        <v>23</v>
      </c>
      <c r="D5" t="s">
        <v>32</v>
      </c>
      <c r="E5" t="s">
        <v>24</v>
      </c>
      <c r="F5" t="s">
        <v>33</v>
      </c>
      <c r="G5" s="4">
        <v>24</v>
      </c>
      <c r="H5" t="s">
        <v>26</v>
      </c>
      <c r="I5" s="4">
        <v>1083</v>
      </c>
      <c r="J5" t="s">
        <v>19</v>
      </c>
      <c r="K5" t="s">
        <v>34</v>
      </c>
      <c r="L5" t="s">
        <v>28</v>
      </c>
      <c r="M5" t="s">
        <v>22</v>
      </c>
      <c r="N5">
        <v>1</v>
      </c>
    </row>
    <row r="6" spans="1:14" x14ac:dyDescent="0.25">
      <c r="A6">
        <v>5</v>
      </c>
      <c r="B6">
        <v>40</v>
      </c>
      <c r="C6" t="s">
        <v>29</v>
      </c>
      <c r="D6" t="s">
        <v>15</v>
      </c>
      <c r="E6" t="s">
        <v>16</v>
      </c>
      <c r="F6" t="s">
        <v>33</v>
      </c>
      <c r="G6" s="4">
        <v>7</v>
      </c>
      <c r="H6" t="s">
        <v>26</v>
      </c>
      <c r="I6" s="4">
        <v>187</v>
      </c>
      <c r="J6" t="s">
        <v>35</v>
      </c>
      <c r="K6" t="s">
        <v>20</v>
      </c>
      <c r="L6" t="s">
        <v>28</v>
      </c>
      <c r="M6" t="s">
        <v>22</v>
      </c>
      <c r="N6">
        <v>2</v>
      </c>
    </row>
    <row r="7" spans="1:14" x14ac:dyDescent="0.25">
      <c r="A7">
        <v>6</v>
      </c>
      <c r="B7">
        <v>29</v>
      </c>
      <c r="C7" t="s">
        <v>23</v>
      </c>
      <c r="D7" t="s">
        <v>36</v>
      </c>
      <c r="E7" t="s">
        <v>24</v>
      </c>
      <c r="F7" t="s">
        <v>33</v>
      </c>
      <c r="G7" s="4">
        <v>16</v>
      </c>
      <c r="H7" t="s">
        <v>37</v>
      </c>
      <c r="I7" s="4">
        <v>858</v>
      </c>
      <c r="J7" t="s">
        <v>27</v>
      </c>
      <c r="K7" t="s">
        <v>38</v>
      </c>
      <c r="L7" t="s">
        <v>28</v>
      </c>
      <c r="M7" t="s">
        <v>31</v>
      </c>
      <c r="N7">
        <v>3</v>
      </c>
    </row>
    <row r="8" spans="1:14" x14ac:dyDescent="0.25">
      <c r="A8">
        <v>7</v>
      </c>
      <c r="B8">
        <v>26</v>
      </c>
      <c r="C8" t="s">
        <v>14</v>
      </c>
      <c r="D8" t="s">
        <v>36</v>
      </c>
      <c r="E8" t="s">
        <v>39</v>
      </c>
      <c r="F8" t="s">
        <v>33</v>
      </c>
      <c r="G8" s="4">
        <v>25</v>
      </c>
      <c r="H8" t="s">
        <v>40</v>
      </c>
      <c r="I8" s="4">
        <v>2818</v>
      </c>
      <c r="J8" t="s">
        <v>41</v>
      </c>
      <c r="K8" t="s">
        <v>34</v>
      </c>
      <c r="L8" t="s">
        <v>28</v>
      </c>
      <c r="M8" t="s">
        <v>31</v>
      </c>
      <c r="N8">
        <v>5</v>
      </c>
    </row>
    <row r="9" spans="1:14" x14ac:dyDescent="0.25">
      <c r="A9">
        <v>8</v>
      </c>
      <c r="B9">
        <v>20</v>
      </c>
      <c r="C9" t="s">
        <v>14</v>
      </c>
      <c r="D9" t="s">
        <v>36</v>
      </c>
      <c r="E9" t="s">
        <v>39</v>
      </c>
      <c r="F9" t="s">
        <v>42</v>
      </c>
      <c r="G9" s="4">
        <v>11</v>
      </c>
      <c r="H9" t="s">
        <v>43</v>
      </c>
      <c r="I9" s="4">
        <v>2323</v>
      </c>
      <c r="J9" t="s">
        <v>44</v>
      </c>
      <c r="K9" t="s">
        <v>34</v>
      </c>
      <c r="L9" t="s">
        <v>21</v>
      </c>
      <c r="M9" t="s">
        <v>22</v>
      </c>
      <c r="N9">
        <v>3</v>
      </c>
    </row>
    <row r="10" spans="1:14" x14ac:dyDescent="0.25">
      <c r="A10">
        <v>9</v>
      </c>
      <c r="B10">
        <v>35</v>
      </c>
      <c r="C10" t="s">
        <v>29</v>
      </c>
      <c r="D10" t="s">
        <v>36</v>
      </c>
      <c r="E10" t="s">
        <v>39</v>
      </c>
      <c r="F10" t="s">
        <v>30</v>
      </c>
      <c r="G10" s="4">
        <v>22</v>
      </c>
      <c r="H10" t="s">
        <v>40</v>
      </c>
      <c r="I10" s="4">
        <v>1076</v>
      </c>
      <c r="J10" t="s">
        <v>44</v>
      </c>
      <c r="K10" t="s">
        <v>20</v>
      </c>
      <c r="L10" t="s">
        <v>21</v>
      </c>
      <c r="M10" t="s">
        <v>22</v>
      </c>
      <c r="N10">
        <v>5</v>
      </c>
    </row>
    <row r="11" spans="1:14" x14ac:dyDescent="0.25">
      <c r="A11">
        <v>10</v>
      </c>
      <c r="B11">
        <v>21</v>
      </c>
      <c r="C11" t="s">
        <v>23</v>
      </c>
      <c r="D11" t="s">
        <v>32</v>
      </c>
      <c r="E11" t="s">
        <v>24</v>
      </c>
      <c r="F11" t="s">
        <v>33</v>
      </c>
      <c r="G11" s="4">
        <v>9</v>
      </c>
      <c r="H11" t="s">
        <v>26</v>
      </c>
      <c r="I11" s="4">
        <v>2570</v>
      </c>
      <c r="J11" t="s">
        <v>45</v>
      </c>
      <c r="K11" t="s">
        <v>20</v>
      </c>
      <c r="L11" t="s">
        <v>28</v>
      </c>
      <c r="M11" t="s">
        <v>22</v>
      </c>
      <c r="N11">
        <v>2</v>
      </c>
    </row>
    <row r="12" spans="1:14" x14ac:dyDescent="0.25">
      <c r="A12">
        <v>11</v>
      </c>
      <c r="B12">
        <v>39</v>
      </c>
      <c r="C12" t="s">
        <v>29</v>
      </c>
      <c r="D12" t="s">
        <v>36</v>
      </c>
      <c r="E12" t="s">
        <v>39</v>
      </c>
      <c r="F12" t="s">
        <v>33</v>
      </c>
      <c r="G12" s="4">
        <v>28</v>
      </c>
      <c r="H12" t="s">
        <v>46</v>
      </c>
      <c r="I12" s="4">
        <v>469</v>
      </c>
      <c r="J12" t="s">
        <v>45</v>
      </c>
      <c r="K12" t="s">
        <v>38</v>
      </c>
      <c r="L12" t="s">
        <v>28</v>
      </c>
      <c r="M12" t="s">
        <v>22</v>
      </c>
      <c r="N12">
        <v>5</v>
      </c>
    </row>
    <row r="13" spans="1:14" x14ac:dyDescent="0.25">
      <c r="A13">
        <v>12</v>
      </c>
      <c r="B13">
        <v>26</v>
      </c>
      <c r="C13" t="s">
        <v>14</v>
      </c>
      <c r="D13" t="s">
        <v>36</v>
      </c>
      <c r="E13" t="s">
        <v>39</v>
      </c>
      <c r="F13" t="s">
        <v>17</v>
      </c>
      <c r="G13" s="4">
        <v>21</v>
      </c>
      <c r="H13" t="s">
        <v>40</v>
      </c>
      <c r="I13" s="4">
        <v>731</v>
      </c>
      <c r="J13" t="s">
        <v>44</v>
      </c>
      <c r="K13" t="s">
        <v>34</v>
      </c>
      <c r="L13" t="s">
        <v>21</v>
      </c>
      <c r="M13" t="s">
        <v>22</v>
      </c>
      <c r="N13">
        <v>5</v>
      </c>
    </row>
    <row r="14" spans="1:14" x14ac:dyDescent="0.25">
      <c r="A14">
        <v>13</v>
      </c>
      <c r="B14">
        <v>37</v>
      </c>
      <c r="C14" t="s">
        <v>14</v>
      </c>
      <c r="D14" t="s">
        <v>32</v>
      </c>
      <c r="E14" t="s">
        <v>39</v>
      </c>
      <c r="F14" t="s">
        <v>25</v>
      </c>
      <c r="G14" s="4">
        <v>15</v>
      </c>
      <c r="H14" t="s">
        <v>47</v>
      </c>
      <c r="I14" s="4">
        <v>2001</v>
      </c>
      <c r="J14" t="s">
        <v>27</v>
      </c>
      <c r="K14" t="s">
        <v>48</v>
      </c>
      <c r="L14" t="s">
        <v>21</v>
      </c>
      <c r="M14" t="s">
        <v>31</v>
      </c>
      <c r="N14">
        <v>1</v>
      </c>
    </row>
    <row r="15" spans="1:14" x14ac:dyDescent="0.25">
      <c r="A15">
        <v>14</v>
      </c>
      <c r="B15">
        <v>20</v>
      </c>
      <c r="C15" t="s">
        <v>14</v>
      </c>
      <c r="D15" t="s">
        <v>36</v>
      </c>
      <c r="E15" t="s">
        <v>39</v>
      </c>
      <c r="F15" t="s">
        <v>45</v>
      </c>
      <c r="G15" s="4">
        <v>29</v>
      </c>
      <c r="H15" t="s">
        <v>37</v>
      </c>
      <c r="I15" s="4">
        <v>2181</v>
      </c>
      <c r="J15" t="s">
        <v>35</v>
      </c>
      <c r="K15" t="s">
        <v>20</v>
      </c>
      <c r="L15" t="s">
        <v>21</v>
      </c>
      <c r="M15" t="s">
        <v>22</v>
      </c>
      <c r="N15">
        <v>2</v>
      </c>
    </row>
    <row r="16" spans="1:14" x14ac:dyDescent="0.25">
      <c r="A16">
        <v>15</v>
      </c>
      <c r="B16">
        <v>40</v>
      </c>
      <c r="C16" t="s">
        <v>29</v>
      </c>
      <c r="D16" t="s">
        <v>36</v>
      </c>
      <c r="E16" t="s">
        <v>39</v>
      </c>
      <c r="F16" t="s">
        <v>33</v>
      </c>
      <c r="G16" s="4">
        <v>14</v>
      </c>
      <c r="H16" t="s">
        <v>40</v>
      </c>
      <c r="I16" s="4">
        <v>1634</v>
      </c>
      <c r="J16" t="s">
        <v>27</v>
      </c>
      <c r="K16" t="s">
        <v>48</v>
      </c>
      <c r="L16" t="s">
        <v>28</v>
      </c>
      <c r="M16" t="s">
        <v>22</v>
      </c>
      <c r="N16">
        <v>3</v>
      </c>
    </row>
    <row r="17" spans="1:14" x14ac:dyDescent="0.25">
      <c r="A17">
        <v>16</v>
      </c>
      <c r="B17">
        <v>36</v>
      </c>
      <c r="C17" t="s">
        <v>14</v>
      </c>
      <c r="D17" t="s">
        <v>15</v>
      </c>
      <c r="E17" t="s">
        <v>16</v>
      </c>
      <c r="F17" t="s">
        <v>17</v>
      </c>
      <c r="G17" s="4">
        <v>22</v>
      </c>
      <c r="H17" t="s">
        <v>47</v>
      </c>
      <c r="I17" s="4">
        <v>942</v>
      </c>
      <c r="J17" t="s">
        <v>27</v>
      </c>
      <c r="K17" t="s">
        <v>48</v>
      </c>
      <c r="L17" t="s">
        <v>21</v>
      </c>
      <c r="M17" t="s">
        <v>31</v>
      </c>
      <c r="N17">
        <v>5</v>
      </c>
    </row>
    <row r="18" spans="1:14" x14ac:dyDescent="0.25">
      <c r="A18">
        <v>17</v>
      </c>
      <c r="B18">
        <v>20</v>
      </c>
      <c r="C18" t="s">
        <v>23</v>
      </c>
      <c r="D18" t="s">
        <v>32</v>
      </c>
      <c r="E18" t="s">
        <v>16</v>
      </c>
      <c r="F18" t="s">
        <v>45</v>
      </c>
      <c r="G18" s="4">
        <v>21</v>
      </c>
      <c r="H18" t="s">
        <v>37</v>
      </c>
      <c r="I18" s="4">
        <v>974</v>
      </c>
      <c r="J18" t="s">
        <v>49</v>
      </c>
      <c r="K18" t="s">
        <v>38</v>
      </c>
      <c r="L18" t="s">
        <v>28</v>
      </c>
      <c r="M18" t="s">
        <v>31</v>
      </c>
      <c r="N18">
        <v>3</v>
      </c>
    </row>
    <row r="19" spans="1:14" x14ac:dyDescent="0.25">
      <c r="A19">
        <v>18</v>
      </c>
      <c r="B19">
        <v>24</v>
      </c>
      <c r="C19" t="s">
        <v>29</v>
      </c>
      <c r="D19" t="s">
        <v>32</v>
      </c>
      <c r="E19" t="s">
        <v>39</v>
      </c>
      <c r="F19" t="s">
        <v>42</v>
      </c>
      <c r="G19" s="4">
        <v>8</v>
      </c>
      <c r="H19" t="s">
        <v>47</v>
      </c>
      <c r="I19" s="4">
        <v>397</v>
      </c>
      <c r="J19" t="s">
        <v>19</v>
      </c>
      <c r="K19" t="s">
        <v>48</v>
      </c>
      <c r="L19" t="s">
        <v>28</v>
      </c>
      <c r="M19" t="s">
        <v>31</v>
      </c>
      <c r="N19">
        <v>4</v>
      </c>
    </row>
    <row r="20" spans="1:14" x14ac:dyDescent="0.25">
      <c r="A20">
        <v>19</v>
      </c>
      <c r="B20">
        <v>21</v>
      </c>
      <c r="C20" t="s">
        <v>23</v>
      </c>
      <c r="D20" t="s">
        <v>32</v>
      </c>
      <c r="E20" t="s">
        <v>16</v>
      </c>
      <c r="F20" t="s">
        <v>42</v>
      </c>
      <c r="G20" s="4">
        <v>12</v>
      </c>
      <c r="H20" t="s">
        <v>37</v>
      </c>
      <c r="I20" s="4">
        <v>784</v>
      </c>
      <c r="J20" t="s">
        <v>35</v>
      </c>
      <c r="K20" t="s">
        <v>20</v>
      </c>
      <c r="L20" t="s">
        <v>21</v>
      </c>
      <c r="M20" t="s">
        <v>22</v>
      </c>
      <c r="N20">
        <v>2</v>
      </c>
    </row>
    <row r="21" spans="1:14" x14ac:dyDescent="0.25">
      <c r="A21">
        <v>20</v>
      </c>
      <c r="B21">
        <v>32</v>
      </c>
      <c r="C21" t="s">
        <v>14</v>
      </c>
      <c r="D21" t="s">
        <v>36</v>
      </c>
      <c r="E21" t="s">
        <v>24</v>
      </c>
      <c r="F21" t="s">
        <v>33</v>
      </c>
      <c r="G21" s="4">
        <v>30</v>
      </c>
      <c r="H21" t="s">
        <v>18</v>
      </c>
      <c r="I21" s="4">
        <v>2254</v>
      </c>
      <c r="J21" t="s">
        <v>27</v>
      </c>
      <c r="K21" t="s">
        <v>38</v>
      </c>
      <c r="L21" t="s">
        <v>28</v>
      </c>
      <c r="M21" t="s">
        <v>31</v>
      </c>
      <c r="N21">
        <v>1</v>
      </c>
    </row>
    <row r="22" spans="1:14" x14ac:dyDescent="0.25">
      <c r="A22">
        <v>21</v>
      </c>
      <c r="B22">
        <v>33</v>
      </c>
      <c r="C22" t="s">
        <v>14</v>
      </c>
      <c r="D22" t="s">
        <v>32</v>
      </c>
      <c r="E22" t="s">
        <v>16</v>
      </c>
      <c r="F22" t="s">
        <v>42</v>
      </c>
      <c r="G22" s="4">
        <v>11</v>
      </c>
      <c r="H22" t="s">
        <v>46</v>
      </c>
      <c r="I22" s="4">
        <v>1642</v>
      </c>
      <c r="J22" t="s">
        <v>49</v>
      </c>
      <c r="K22" t="s">
        <v>34</v>
      </c>
      <c r="L22" t="s">
        <v>28</v>
      </c>
      <c r="M22" t="s">
        <v>31</v>
      </c>
      <c r="N22">
        <v>1</v>
      </c>
    </row>
    <row r="23" spans="1:14" x14ac:dyDescent="0.25">
      <c r="A23">
        <v>22</v>
      </c>
      <c r="B23">
        <v>22</v>
      </c>
      <c r="C23" t="s">
        <v>14</v>
      </c>
      <c r="D23" t="s">
        <v>36</v>
      </c>
      <c r="E23" t="s">
        <v>24</v>
      </c>
      <c r="F23" t="s">
        <v>45</v>
      </c>
      <c r="G23" s="4">
        <v>11</v>
      </c>
      <c r="H23" t="s">
        <v>47</v>
      </c>
      <c r="I23" s="4">
        <v>1215</v>
      </c>
      <c r="J23" t="s">
        <v>50</v>
      </c>
      <c r="K23" t="s">
        <v>48</v>
      </c>
      <c r="L23" t="s">
        <v>21</v>
      </c>
      <c r="M23" t="s">
        <v>31</v>
      </c>
      <c r="N23">
        <v>2</v>
      </c>
    </row>
    <row r="24" spans="1:14" x14ac:dyDescent="0.25">
      <c r="A24">
        <v>23</v>
      </c>
      <c r="B24">
        <v>34</v>
      </c>
      <c r="C24" t="s">
        <v>23</v>
      </c>
      <c r="D24" t="s">
        <v>15</v>
      </c>
      <c r="E24" t="s">
        <v>16</v>
      </c>
      <c r="F24" t="s">
        <v>33</v>
      </c>
      <c r="G24" s="4">
        <v>21</v>
      </c>
      <c r="H24" t="s">
        <v>18</v>
      </c>
      <c r="I24" s="4">
        <v>644</v>
      </c>
      <c r="J24" t="s">
        <v>27</v>
      </c>
      <c r="K24" t="s">
        <v>20</v>
      </c>
      <c r="L24" t="s">
        <v>21</v>
      </c>
      <c r="M24" t="s">
        <v>22</v>
      </c>
      <c r="N24">
        <v>1</v>
      </c>
    </row>
    <row r="25" spans="1:14" x14ac:dyDescent="0.25">
      <c r="A25">
        <v>24</v>
      </c>
      <c r="B25">
        <v>36</v>
      </c>
      <c r="C25" t="s">
        <v>14</v>
      </c>
      <c r="D25" t="s">
        <v>32</v>
      </c>
      <c r="E25" t="s">
        <v>24</v>
      </c>
      <c r="F25" t="s">
        <v>45</v>
      </c>
      <c r="G25" s="4">
        <v>24</v>
      </c>
      <c r="H25" t="s">
        <v>34</v>
      </c>
      <c r="I25" s="4">
        <v>162</v>
      </c>
      <c r="J25" t="s">
        <v>35</v>
      </c>
      <c r="K25" t="s">
        <v>38</v>
      </c>
      <c r="L25" t="s">
        <v>28</v>
      </c>
      <c r="M25" t="s">
        <v>22</v>
      </c>
      <c r="N25">
        <v>5</v>
      </c>
    </row>
    <row r="26" spans="1:14" x14ac:dyDescent="0.25">
      <c r="A26">
        <v>25</v>
      </c>
      <c r="B26">
        <v>26</v>
      </c>
      <c r="C26" t="s">
        <v>29</v>
      </c>
      <c r="D26" t="s">
        <v>32</v>
      </c>
      <c r="E26" t="s">
        <v>16</v>
      </c>
      <c r="F26" t="s">
        <v>33</v>
      </c>
      <c r="G26" s="4">
        <v>17</v>
      </c>
      <c r="H26" t="s">
        <v>43</v>
      </c>
      <c r="I26" s="4">
        <v>536</v>
      </c>
      <c r="J26" t="s">
        <v>19</v>
      </c>
      <c r="K26" t="s">
        <v>48</v>
      </c>
      <c r="L26" t="s">
        <v>21</v>
      </c>
      <c r="M26" t="s">
        <v>31</v>
      </c>
      <c r="N26">
        <v>3</v>
      </c>
    </row>
    <row r="27" spans="1:14" x14ac:dyDescent="0.25">
      <c r="A27">
        <v>26</v>
      </c>
      <c r="B27">
        <v>22</v>
      </c>
      <c r="C27" t="s">
        <v>29</v>
      </c>
      <c r="D27" t="s">
        <v>32</v>
      </c>
      <c r="E27" t="s">
        <v>16</v>
      </c>
      <c r="F27" t="s">
        <v>42</v>
      </c>
      <c r="G27" s="4">
        <v>16</v>
      </c>
      <c r="H27" t="s">
        <v>46</v>
      </c>
      <c r="I27" s="4">
        <v>281</v>
      </c>
      <c r="J27" t="s">
        <v>41</v>
      </c>
      <c r="K27" t="s">
        <v>34</v>
      </c>
      <c r="L27" t="s">
        <v>21</v>
      </c>
      <c r="M27" t="s">
        <v>22</v>
      </c>
      <c r="N27">
        <v>2</v>
      </c>
    </row>
    <row r="28" spans="1:14" x14ac:dyDescent="0.25">
      <c r="A28">
        <v>27</v>
      </c>
      <c r="B28">
        <v>26</v>
      </c>
      <c r="C28" t="s">
        <v>14</v>
      </c>
      <c r="D28" t="s">
        <v>32</v>
      </c>
      <c r="E28" t="s">
        <v>39</v>
      </c>
      <c r="F28" t="s">
        <v>45</v>
      </c>
      <c r="G28" s="4">
        <v>8</v>
      </c>
      <c r="H28" t="s">
        <v>40</v>
      </c>
      <c r="I28" s="4">
        <v>438</v>
      </c>
      <c r="J28" t="s">
        <v>50</v>
      </c>
      <c r="K28" t="s">
        <v>38</v>
      </c>
      <c r="L28" t="s">
        <v>28</v>
      </c>
      <c r="M28" t="s">
        <v>31</v>
      </c>
      <c r="N28">
        <v>5</v>
      </c>
    </row>
    <row r="29" spans="1:14" x14ac:dyDescent="0.25">
      <c r="A29">
        <v>28</v>
      </c>
      <c r="B29">
        <v>26</v>
      </c>
      <c r="C29" t="s">
        <v>29</v>
      </c>
      <c r="D29" t="s">
        <v>15</v>
      </c>
      <c r="E29" t="s">
        <v>16</v>
      </c>
      <c r="F29" t="s">
        <v>30</v>
      </c>
      <c r="G29" s="4">
        <v>6</v>
      </c>
      <c r="H29" t="s">
        <v>37</v>
      </c>
      <c r="I29" s="4">
        <v>378</v>
      </c>
      <c r="J29" t="s">
        <v>35</v>
      </c>
      <c r="K29" t="s">
        <v>38</v>
      </c>
      <c r="L29" t="s">
        <v>28</v>
      </c>
      <c r="M29" t="s">
        <v>31</v>
      </c>
      <c r="N29">
        <v>4</v>
      </c>
    </row>
    <row r="30" spans="1:14" x14ac:dyDescent="0.25">
      <c r="A30">
        <v>29</v>
      </c>
      <c r="B30">
        <v>35</v>
      </c>
      <c r="C30" t="s">
        <v>23</v>
      </c>
      <c r="D30" t="s">
        <v>15</v>
      </c>
      <c r="E30" t="s">
        <v>24</v>
      </c>
      <c r="F30" t="s">
        <v>33</v>
      </c>
      <c r="G30" s="4">
        <v>5</v>
      </c>
      <c r="H30" t="s">
        <v>34</v>
      </c>
      <c r="I30" s="4">
        <v>458</v>
      </c>
      <c r="J30" t="s">
        <v>44</v>
      </c>
      <c r="K30" t="s">
        <v>20</v>
      </c>
      <c r="L30" t="s">
        <v>21</v>
      </c>
      <c r="M30" t="s">
        <v>22</v>
      </c>
      <c r="N30">
        <v>1</v>
      </c>
    </row>
    <row r="31" spans="1:14" x14ac:dyDescent="0.25">
      <c r="A31">
        <v>30</v>
      </c>
      <c r="B31">
        <v>27</v>
      </c>
      <c r="C31" t="s">
        <v>14</v>
      </c>
      <c r="D31" t="s">
        <v>36</v>
      </c>
      <c r="E31" t="s">
        <v>16</v>
      </c>
      <c r="F31" t="s">
        <v>17</v>
      </c>
      <c r="G31" s="4">
        <v>16</v>
      </c>
      <c r="H31" t="s">
        <v>18</v>
      </c>
      <c r="I31" s="4">
        <v>163</v>
      </c>
      <c r="J31" t="s">
        <v>50</v>
      </c>
      <c r="K31" t="s">
        <v>20</v>
      </c>
      <c r="L31" t="s">
        <v>21</v>
      </c>
      <c r="M31" t="s">
        <v>22</v>
      </c>
      <c r="N31">
        <v>3</v>
      </c>
    </row>
    <row r="32" spans="1:14" x14ac:dyDescent="0.25">
      <c r="A32">
        <v>31</v>
      </c>
      <c r="B32">
        <v>23</v>
      </c>
      <c r="C32" t="s">
        <v>14</v>
      </c>
      <c r="D32" t="s">
        <v>15</v>
      </c>
      <c r="E32" t="s">
        <v>24</v>
      </c>
      <c r="F32" t="s">
        <v>30</v>
      </c>
      <c r="G32" s="4">
        <v>30</v>
      </c>
      <c r="H32" t="s">
        <v>26</v>
      </c>
      <c r="I32" s="4">
        <v>725</v>
      </c>
      <c r="J32" t="s">
        <v>27</v>
      </c>
      <c r="K32" t="s">
        <v>34</v>
      </c>
      <c r="L32" t="s">
        <v>21</v>
      </c>
      <c r="M32" t="s">
        <v>22</v>
      </c>
      <c r="N32">
        <v>4</v>
      </c>
    </row>
    <row r="33" spans="1:14" x14ac:dyDescent="0.25">
      <c r="A33">
        <v>32</v>
      </c>
      <c r="B33">
        <v>30</v>
      </c>
      <c r="C33" t="s">
        <v>14</v>
      </c>
      <c r="D33" t="s">
        <v>32</v>
      </c>
      <c r="E33" t="s">
        <v>39</v>
      </c>
      <c r="F33" t="s">
        <v>30</v>
      </c>
      <c r="G33" s="4">
        <v>6</v>
      </c>
      <c r="H33" t="s">
        <v>40</v>
      </c>
      <c r="I33" s="4">
        <v>1927</v>
      </c>
      <c r="J33" t="s">
        <v>27</v>
      </c>
      <c r="K33" t="s">
        <v>48</v>
      </c>
      <c r="L33" t="s">
        <v>21</v>
      </c>
      <c r="M33" t="s">
        <v>31</v>
      </c>
      <c r="N33">
        <v>2</v>
      </c>
    </row>
    <row r="34" spans="1:14" x14ac:dyDescent="0.25">
      <c r="A34">
        <v>33</v>
      </c>
      <c r="B34">
        <v>28</v>
      </c>
      <c r="C34" t="s">
        <v>29</v>
      </c>
      <c r="D34" t="s">
        <v>36</v>
      </c>
      <c r="E34" t="s">
        <v>24</v>
      </c>
      <c r="F34" t="s">
        <v>42</v>
      </c>
      <c r="G34" s="4">
        <v>13</v>
      </c>
      <c r="H34" t="s">
        <v>34</v>
      </c>
      <c r="I34" s="4">
        <v>284</v>
      </c>
      <c r="J34" t="s">
        <v>41</v>
      </c>
      <c r="K34" t="s">
        <v>48</v>
      </c>
      <c r="L34" t="s">
        <v>28</v>
      </c>
      <c r="M34" t="s">
        <v>22</v>
      </c>
      <c r="N34">
        <v>3</v>
      </c>
    </row>
    <row r="35" spans="1:14" x14ac:dyDescent="0.25">
      <c r="A35">
        <v>34</v>
      </c>
      <c r="B35">
        <v>36</v>
      </c>
      <c r="C35" t="s">
        <v>23</v>
      </c>
      <c r="D35" t="s">
        <v>32</v>
      </c>
      <c r="E35" t="s">
        <v>39</v>
      </c>
      <c r="F35" t="s">
        <v>17</v>
      </c>
      <c r="G35" s="4">
        <v>13</v>
      </c>
      <c r="H35" t="s">
        <v>34</v>
      </c>
      <c r="I35" s="4">
        <v>156</v>
      </c>
      <c r="J35" t="s">
        <v>45</v>
      </c>
      <c r="K35" t="s">
        <v>48</v>
      </c>
      <c r="L35" t="s">
        <v>28</v>
      </c>
      <c r="M35" t="s">
        <v>22</v>
      </c>
      <c r="N35">
        <v>1</v>
      </c>
    </row>
    <row r="36" spans="1:14" x14ac:dyDescent="0.25">
      <c r="A36">
        <v>35</v>
      </c>
      <c r="B36">
        <v>26</v>
      </c>
      <c r="C36" t="s">
        <v>14</v>
      </c>
      <c r="D36" t="s">
        <v>36</v>
      </c>
      <c r="E36" t="s">
        <v>24</v>
      </c>
      <c r="F36" t="s">
        <v>17</v>
      </c>
      <c r="G36" s="4">
        <v>6</v>
      </c>
      <c r="H36" t="s">
        <v>40</v>
      </c>
      <c r="I36" s="4">
        <v>2903</v>
      </c>
      <c r="J36" t="s">
        <v>50</v>
      </c>
      <c r="K36" t="s">
        <v>20</v>
      </c>
      <c r="L36" t="s">
        <v>21</v>
      </c>
      <c r="M36" t="s">
        <v>31</v>
      </c>
      <c r="N36">
        <v>4</v>
      </c>
    </row>
    <row r="37" spans="1:14" x14ac:dyDescent="0.25">
      <c r="A37">
        <v>36</v>
      </c>
      <c r="B37">
        <v>37</v>
      </c>
      <c r="C37" t="s">
        <v>23</v>
      </c>
      <c r="D37" t="s">
        <v>32</v>
      </c>
      <c r="E37" t="s">
        <v>24</v>
      </c>
      <c r="F37" t="s">
        <v>30</v>
      </c>
      <c r="G37" s="4">
        <v>15</v>
      </c>
      <c r="H37" t="s">
        <v>26</v>
      </c>
      <c r="I37" s="4">
        <v>2717</v>
      </c>
      <c r="J37" t="s">
        <v>50</v>
      </c>
      <c r="K37" t="s">
        <v>20</v>
      </c>
      <c r="L37" t="s">
        <v>28</v>
      </c>
      <c r="M37" t="s">
        <v>22</v>
      </c>
      <c r="N37">
        <v>1</v>
      </c>
    </row>
    <row r="38" spans="1:14" x14ac:dyDescent="0.25">
      <c r="A38">
        <v>37</v>
      </c>
      <c r="B38">
        <v>24</v>
      </c>
      <c r="C38" t="s">
        <v>23</v>
      </c>
      <c r="D38" t="s">
        <v>36</v>
      </c>
      <c r="E38" t="s">
        <v>16</v>
      </c>
      <c r="F38" t="s">
        <v>45</v>
      </c>
      <c r="G38" s="4">
        <v>18</v>
      </c>
      <c r="H38" t="s">
        <v>46</v>
      </c>
      <c r="I38" s="4">
        <v>2723</v>
      </c>
      <c r="J38" t="s">
        <v>45</v>
      </c>
      <c r="K38" t="s">
        <v>48</v>
      </c>
      <c r="L38" t="s">
        <v>28</v>
      </c>
      <c r="M38" t="s">
        <v>31</v>
      </c>
      <c r="N38">
        <v>4</v>
      </c>
    </row>
    <row r="39" spans="1:14" x14ac:dyDescent="0.25">
      <c r="A39">
        <v>38</v>
      </c>
      <c r="B39">
        <v>24</v>
      </c>
      <c r="C39" t="s">
        <v>23</v>
      </c>
      <c r="D39" t="s">
        <v>32</v>
      </c>
      <c r="E39" t="s">
        <v>39</v>
      </c>
      <c r="F39" t="s">
        <v>42</v>
      </c>
      <c r="G39" s="4">
        <v>18</v>
      </c>
      <c r="H39" t="s">
        <v>43</v>
      </c>
      <c r="I39" s="4">
        <v>2375</v>
      </c>
      <c r="J39" t="s">
        <v>27</v>
      </c>
      <c r="K39" t="s">
        <v>20</v>
      </c>
      <c r="L39" t="s">
        <v>21</v>
      </c>
      <c r="M39" t="s">
        <v>22</v>
      </c>
      <c r="N39">
        <v>5</v>
      </c>
    </row>
    <row r="40" spans="1:14" x14ac:dyDescent="0.25">
      <c r="A40">
        <v>39</v>
      </c>
      <c r="B40">
        <v>27</v>
      </c>
      <c r="C40" t="s">
        <v>29</v>
      </c>
      <c r="D40" t="s">
        <v>15</v>
      </c>
      <c r="E40" t="s">
        <v>16</v>
      </c>
      <c r="F40" t="s">
        <v>17</v>
      </c>
      <c r="G40" s="4">
        <v>21</v>
      </c>
      <c r="H40" t="s">
        <v>46</v>
      </c>
      <c r="I40" s="4">
        <v>2719</v>
      </c>
      <c r="J40" t="s">
        <v>27</v>
      </c>
      <c r="K40" t="s">
        <v>38</v>
      </c>
      <c r="L40" t="s">
        <v>21</v>
      </c>
      <c r="M40" t="s">
        <v>22</v>
      </c>
      <c r="N40">
        <v>5</v>
      </c>
    </row>
    <row r="41" spans="1:14" x14ac:dyDescent="0.25">
      <c r="A41">
        <v>40</v>
      </c>
      <c r="B41">
        <v>19</v>
      </c>
      <c r="C41" t="s">
        <v>14</v>
      </c>
      <c r="D41" t="s">
        <v>32</v>
      </c>
      <c r="E41" t="s">
        <v>39</v>
      </c>
      <c r="F41" t="s">
        <v>17</v>
      </c>
      <c r="G41" s="4">
        <v>12</v>
      </c>
      <c r="H41" t="s">
        <v>40</v>
      </c>
      <c r="I41" s="4">
        <v>1946</v>
      </c>
      <c r="J41" t="s">
        <v>45</v>
      </c>
      <c r="K41" t="s">
        <v>20</v>
      </c>
      <c r="L41" t="s">
        <v>28</v>
      </c>
      <c r="M41" t="s">
        <v>22</v>
      </c>
      <c r="N41">
        <v>5</v>
      </c>
    </row>
    <row r="42" spans="1:14" x14ac:dyDescent="0.25">
      <c r="A42">
        <v>41</v>
      </c>
      <c r="B42">
        <v>22</v>
      </c>
      <c r="C42" t="s">
        <v>14</v>
      </c>
      <c r="D42" t="s">
        <v>32</v>
      </c>
      <c r="E42" t="s">
        <v>16</v>
      </c>
      <c r="F42" t="s">
        <v>25</v>
      </c>
      <c r="G42" s="4">
        <v>25</v>
      </c>
      <c r="H42" t="s">
        <v>43</v>
      </c>
      <c r="I42" s="4">
        <v>2816</v>
      </c>
      <c r="J42" t="s">
        <v>41</v>
      </c>
      <c r="K42" t="s">
        <v>38</v>
      </c>
      <c r="L42" t="s">
        <v>21</v>
      </c>
      <c r="M42" t="s">
        <v>31</v>
      </c>
      <c r="N42">
        <v>1</v>
      </c>
    </row>
    <row r="43" spans="1:14" x14ac:dyDescent="0.25">
      <c r="A43">
        <v>42</v>
      </c>
      <c r="B43">
        <v>22</v>
      </c>
      <c r="C43" t="s">
        <v>23</v>
      </c>
      <c r="D43" t="s">
        <v>36</v>
      </c>
      <c r="E43" t="s">
        <v>39</v>
      </c>
      <c r="F43" t="s">
        <v>42</v>
      </c>
      <c r="G43" s="4">
        <v>30</v>
      </c>
      <c r="H43" t="s">
        <v>26</v>
      </c>
      <c r="I43" s="4">
        <v>1903</v>
      </c>
      <c r="J43" t="s">
        <v>49</v>
      </c>
      <c r="K43" t="s">
        <v>38</v>
      </c>
      <c r="L43" t="s">
        <v>28</v>
      </c>
      <c r="M43" t="s">
        <v>31</v>
      </c>
      <c r="N43">
        <v>5</v>
      </c>
    </row>
    <row r="44" spans="1:14" x14ac:dyDescent="0.25">
      <c r="A44">
        <v>43</v>
      </c>
      <c r="B44">
        <v>26</v>
      </c>
      <c r="C44" t="s">
        <v>23</v>
      </c>
      <c r="D44" t="s">
        <v>32</v>
      </c>
      <c r="E44" t="s">
        <v>24</v>
      </c>
      <c r="F44" t="s">
        <v>25</v>
      </c>
      <c r="G44" s="4">
        <v>29</v>
      </c>
      <c r="H44" t="s">
        <v>46</v>
      </c>
      <c r="I44" s="4">
        <v>1012</v>
      </c>
      <c r="J44" t="s">
        <v>49</v>
      </c>
      <c r="K44" t="s">
        <v>48</v>
      </c>
      <c r="L44" t="s">
        <v>28</v>
      </c>
      <c r="M44" t="s">
        <v>22</v>
      </c>
      <c r="N44">
        <v>3</v>
      </c>
    </row>
    <row r="45" spans="1:14" x14ac:dyDescent="0.25">
      <c r="A45">
        <v>44</v>
      </c>
      <c r="B45">
        <v>26</v>
      </c>
      <c r="C45" t="s">
        <v>14</v>
      </c>
      <c r="D45" t="s">
        <v>15</v>
      </c>
      <c r="E45" t="s">
        <v>16</v>
      </c>
      <c r="F45" t="s">
        <v>25</v>
      </c>
      <c r="G45" s="4">
        <v>15</v>
      </c>
      <c r="H45" t="s">
        <v>26</v>
      </c>
      <c r="I45" s="4">
        <v>1309</v>
      </c>
      <c r="J45" t="s">
        <v>44</v>
      </c>
      <c r="K45" t="s">
        <v>38</v>
      </c>
      <c r="L45" t="s">
        <v>21</v>
      </c>
      <c r="M45" t="s">
        <v>31</v>
      </c>
      <c r="N45">
        <v>5</v>
      </c>
    </row>
    <row r="46" spans="1:14" x14ac:dyDescent="0.25">
      <c r="A46">
        <v>45</v>
      </c>
      <c r="B46">
        <v>31</v>
      </c>
      <c r="C46" t="s">
        <v>29</v>
      </c>
      <c r="D46" t="s">
        <v>15</v>
      </c>
      <c r="E46" t="s">
        <v>16</v>
      </c>
      <c r="F46" t="s">
        <v>42</v>
      </c>
      <c r="G46" s="4">
        <v>15</v>
      </c>
      <c r="H46" t="s">
        <v>26</v>
      </c>
      <c r="I46" s="4">
        <v>2222</v>
      </c>
      <c r="J46" t="s">
        <v>41</v>
      </c>
      <c r="K46" t="s">
        <v>20</v>
      </c>
      <c r="L46" t="s">
        <v>28</v>
      </c>
      <c r="M46" t="s">
        <v>22</v>
      </c>
      <c r="N46">
        <v>4</v>
      </c>
    </row>
    <row r="47" spans="1:14" x14ac:dyDescent="0.25">
      <c r="A47">
        <v>46</v>
      </c>
      <c r="B47">
        <v>29</v>
      </c>
      <c r="C47" t="s">
        <v>23</v>
      </c>
      <c r="D47" t="s">
        <v>36</v>
      </c>
      <c r="E47" t="s">
        <v>24</v>
      </c>
      <c r="F47" t="s">
        <v>45</v>
      </c>
      <c r="G47" s="4">
        <v>14</v>
      </c>
      <c r="H47" t="s">
        <v>40</v>
      </c>
      <c r="I47" s="4">
        <v>1597</v>
      </c>
      <c r="J47" t="s">
        <v>49</v>
      </c>
      <c r="K47" t="s">
        <v>38</v>
      </c>
      <c r="L47" t="s">
        <v>28</v>
      </c>
      <c r="M47" t="s">
        <v>31</v>
      </c>
      <c r="N47">
        <v>4</v>
      </c>
    </row>
    <row r="48" spans="1:14" x14ac:dyDescent="0.25">
      <c r="A48">
        <v>47</v>
      </c>
      <c r="B48">
        <v>33</v>
      </c>
      <c r="C48" t="s">
        <v>23</v>
      </c>
      <c r="D48" t="s">
        <v>36</v>
      </c>
      <c r="E48" t="s">
        <v>39</v>
      </c>
      <c r="F48" t="s">
        <v>17</v>
      </c>
      <c r="G48" s="4">
        <v>5</v>
      </c>
      <c r="H48" t="s">
        <v>37</v>
      </c>
      <c r="I48" s="4">
        <v>1592</v>
      </c>
      <c r="J48" t="s">
        <v>49</v>
      </c>
      <c r="K48" t="s">
        <v>38</v>
      </c>
      <c r="L48" t="s">
        <v>21</v>
      </c>
      <c r="M48" t="s">
        <v>31</v>
      </c>
      <c r="N48">
        <v>3</v>
      </c>
    </row>
    <row r="49" spans="1:14" x14ac:dyDescent="0.25">
      <c r="A49">
        <v>48</v>
      </c>
      <c r="B49">
        <v>36</v>
      </c>
      <c r="C49" t="s">
        <v>14</v>
      </c>
      <c r="D49" t="s">
        <v>36</v>
      </c>
      <c r="E49" t="s">
        <v>39</v>
      </c>
      <c r="F49" t="s">
        <v>25</v>
      </c>
      <c r="G49" s="4">
        <v>23</v>
      </c>
      <c r="H49" t="s">
        <v>43</v>
      </c>
      <c r="I49" s="4">
        <v>2715</v>
      </c>
      <c r="J49" t="s">
        <v>44</v>
      </c>
      <c r="K49" t="s">
        <v>48</v>
      </c>
      <c r="L49" t="s">
        <v>28</v>
      </c>
      <c r="M49" t="s">
        <v>31</v>
      </c>
      <c r="N49">
        <v>1</v>
      </c>
    </row>
    <row r="50" spans="1:14" x14ac:dyDescent="0.25">
      <c r="A50">
        <v>49</v>
      </c>
      <c r="B50">
        <v>28</v>
      </c>
      <c r="C50" t="s">
        <v>29</v>
      </c>
      <c r="D50" t="s">
        <v>32</v>
      </c>
      <c r="E50" t="s">
        <v>39</v>
      </c>
      <c r="F50" t="s">
        <v>42</v>
      </c>
      <c r="G50" s="4">
        <v>11</v>
      </c>
      <c r="H50" t="s">
        <v>46</v>
      </c>
      <c r="I50" s="4">
        <v>1862</v>
      </c>
      <c r="J50" t="s">
        <v>19</v>
      </c>
      <c r="K50" t="s">
        <v>20</v>
      </c>
      <c r="L50" t="s">
        <v>21</v>
      </c>
      <c r="M50" t="s">
        <v>22</v>
      </c>
      <c r="N50">
        <v>3</v>
      </c>
    </row>
    <row r="51" spans="1:14" x14ac:dyDescent="0.25">
      <c r="A51">
        <v>50</v>
      </c>
      <c r="B51">
        <v>29</v>
      </c>
      <c r="C51" t="s">
        <v>23</v>
      </c>
      <c r="D51" t="s">
        <v>15</v>
      </c>
      <c r="E51" t="s">
        <v>16</v>
      </c>
      <c r="F51" t="s">
        <v>25</v>
      </c>
      <c r="G51" s="4">
        <v>12</v>
      </c>
      <c r="H51" t="s">
        <v>40</v>
      </c>
      <c r="I51" s="4">
        <v>2662</v>
      </c>
      <c r="J51" t="s">
        <v>41</v>
      </c>
      <c r="K51" t="s">
        <v>38</v>
      </c>
      <c r="L51" t="s">
        <v>21</v>
      </c>
      <c r="M51" t="s">
        <v>22</v>
      </c>
      <c r="N51">
        <v>1</v>
      </c>
    </row>
    <row r="52" spans="1:14" x14ac:dyDescent="0.25">
      <c r="A52">
        <v>51</v>
      </c>
      <c r="B52">
        <v>33</v>
      </c>
      <c r="C52" t="s">
        <v>14</v>
      </c>
      <c r="D52" t="s">
        <v>32</v>
      </c>
      <c r="E52" t="s">
        <v>24</v>
      </c>
      <c r="F52" t="s">
        <v>30</v>
      </c>
      <c r="G52" s="4">
        <v>26</v>
      </c>
      <c r="H52" t="s">
        <v>34</v>
      </c>
      <c r="I52" s="4">
        <v>468</v>
      </c>
      <c r="J52" t="s">
        <v>44</v>
      </c>
      <c r="K52" t="s">
        <v>48</v>
      </c>
      <c r="L52" t="s">
        <v>21</v>
      </c>
      <c r="M52" t="s">
        <v>31</v>
      </c>
      <c r="N52">
        <v>5</v>
      </c>
    </row>
    <row r="53" spans="1:14" x14ac:dyDescent="0.25">
      <c r="A53">
        <v>52</v>
      </c>
      <c r="B53">
        <v>21</v>
      </c>
      <c r="C53" t="s">
        <v>23</v>
      </c>
      <c r="D53" t="s">
        <v>36</v>
      </c>
      <c r="E53" t="s">
        <v>39</v>
      </c>
      <c r="F53" t="s">
        <v>42</v>
      </c>
      <c r="G53" s="4">
        <v>23</v>
      </c>
      <c r="H53" t="s">
        <v>40</v>
      </c>
      <c r="I53" s="4">
        <v>105</v>
      </c>
      <c r="J53" t="s">
        <v>19</v>
      </c>
      <c r="K53" t="s">
        <v>38</v>
      </c>
      <c r="L53" t="s">
        <v>21</v>
      </c>
      <c r="M53" t="s">
        <v>31</v>
      </c>
      <c r="N53">
        <v>3</v>
      </c>
    </row>
    <row r="54" spans="1:14" x14ac:dyDescent="0.25">
      <c r="A54">
        <v>53</v>
      </c>
      <c r="B54">
        <v>39</v>
      </c>
      <c r="C54" t="s">
        <v>14</v>
      </c>
      <c r="D54" t="s">
        <v>32</v>
      </c>
      <c r="E54" t="s">
        <v>24</v>
      </c>
      <c r="F54" t="s">
        <v>42</v>
      </c>
      <c r="G54" s="4">
        <v>24</v>
      </c>
      <c r="H54" t="s">
        <v>34</v>
      </c>
      <c r="I54" s="4">
        <v>495</v>
      </c>
      <c r="J54" t="s">
        <v>19</v>
      </c>
      <c r="K54" t="s">
        <v>34</v>
      </c>
      <c r="L54" t="s">
        <v>21</v>
      </c>
      <c r="M54" t="s">
        <v>31</v>
      </c>
      <c r="N54">
        <v>5</v>
      </c>
    </row>
    <row r="55" spans="1:14" x14ac:dyDescent="0.25">
      <c r="A55">
        <v>54</v>
      </c>
      <c r="B55">
        <v>33</v>
      </c>
      <c r="C55" t="s">
        <v>23</v>
      </c>
      <c r="D55" t="s">
        <v>32</v>
      </c>
      <c r="E55" t="s">
        <v>24</v>
      </c>
      <c r="F55" t="s">
        <v>25</v>
      </c>
      <c r="G55" s="4">
        <v>8</v>
      </c>
      <c r="H55" t="s">
        <v>26</v>
      </c>
      <c r="I55" s="4">
        <v>1775</v>
      </c>
      <c r="J55" t="s">
        <v>44</v>
      </c>
      <c r="K55" t="s">
        <v>34</v>
      </c>
      <c r="L55" t="s">
        <v>28</v>
      </c>
      <c r="M55" t="s">
        <v>31</v>
      </c>
      <c r="N55">
        <v>3</v>
      </c>
    </row>
    <row r="56" spans="1:14" x14ac:dyDescent="0.25">
      <c r="A56">
        <v>55</v>
      </c>
      <c r="B56">
        <v>31</v>
      </c>
      <c r="C56" t="s">
        <v>29</v>
      </c>
      <c r="D56" t="s">
        <v>15</v>
      </c>
      <c r="E56" t="s">
        <v>16</v>
      </c>
      <c r="F56" t="s">
        <v>30</v>
      </c>
      <c r="G56" s="4">
        <v>28</v>
      </c>
      <c r="H56" t="s">
        <v>43</v>
      </c>
      <c r="I56" s="4">
        <v>2426</v>
      </c>
      <c r="J56" t="s">
        <v>27</v>
      </c>
      <c r="K56" t="s">
        <v>20</v>
      </c>
      <c r="L56" t="s">
        <v>28</v>
      </c>
      <c r="M56" t="s">
        <v>31</v>
      </c>
      <c r="N56">
        <v>3</v>
      </c>
    </row>
    <row r="57" spans="1:14" x14ac:dyDescent="0.25">
      <c r="A57">
        <v>56</v>
      </c>
      <c r="B57">
        <v>18</v>
      </c>
      <c r="C57" t="s">
        <v>29</v>
      </c>
      <c r="D57" t="s">
        <v>15</v>
      </c>
      <c r="E57" t="s">
        <v>39</v>
      </c>
      <c r="F57" t="s">
        <v>30</v>
      </c>
      <c r="G57" s="4">
        <v>20</v>
      </c>
      <c r="H57" t="s">
        <v>34</v>
      </c>
      <c r="I57" s="4">
        <v>1331</v>
      </c>
      <c r="J57" t="s">
        <v>35</v>
      </c>
      <c r="K57" t="s">
        <v>34</v>
      </c>
      <c r="L57" t="s">
        <v>21</v>
      </c>
      <c r="M57" t="s">
        <v>22</v>
      </c>
      <c r="N57">
        <v>2</v>
      </c>
    </row>
    <row r="58" spans="1:14" x14ac:dyDescent="0.25">
      <c r="A58">
        <v>57</v>
      </c>
      <c r="B58">
        <v>20</v>
      </c>
      <c r="C58" t="s">
        <v>29</v>
      </c>
      <c r="D58" t="s">
        <v>36</v>
      </c>
      <c r="E58" t="s">
        <v>16</v>
      </c>
      <c r="F58" t="s">
        <v>17</v>
      </c>
      <c r="G58" s="4">
        <v>12</v>
      </c>
      <c r="H58" t="s">
        <v>43</v>
      </c>
      <c r="I58" s="4">
        <v>2949</v>
      </c>
      <c r="J58" t="s">
        <v>49</v>
      </c>
      <c r="K58" t="s">
        <v>20</v>
      </c>
      <c r="L58" t="s">
        <v>21</v>
      </c>
      <c r="M58" t="s">
        <v>22</v>
      </c>
      <c r="N58">
        <v>4</v>
      </c>
    </row>
    <row r="59" spans="1:14" x14ac:dyDescent="0.25">
      <c r="A59">
        <v>58</v>
      </c>
      <c r="B59">
        <v>27</v>
      </c>
      <c r="C59" t="s">
        <v>29</v>
      </c>
      <c r="D59" t="s">
        <v>36</v>
      </c>
      <c r="E59" t="s">
        <v>24</v>
      </c>
      <c r="F59" t="s">
        <v>30</v>
      </c>
      <c r="G59" s="4">
        <v>12</v>
      </c>
      <c r="H59" t="s">
        <v>43</v>
      </c>
      <c r="I59" s="4">
        <v>1656</v>
      </c>
      <c r="J59" t="s">
        <v>50</v>
      </c>
      <c r="K59" t="s">
        <v>20</v>
      </c>
      <c r="L59" t="s">
        <v>28</v>
      </c>
      <c r="M59" t="s">
        <v>31</v>
      </c>
      <c r="N59">
        <v>2</v>
      </c>
    </row>
    <row r="60" spans="1:14" x14ac:dyDescent="0.25">
      <c r="A60">
        <v>59</v>
      </c>
      <c r="B60">
        <v>40</v>
      </c>
      <c r="C60" t="s">
        <v>29</v>
      </c>
      <c r="D60" t="s">
        <v>15</v>
      </c>
      <c r="E60" t="s">
        <v>16</v>
      </c>
      <c r="F60" t="s">
        <v>17</v>
      </c>
      <c r="G60" s="4">
        <v>19</v>
      </c>
      <c r="H60" t="s">
        <v>40</v>
      </c>
      <c r="I60" s="4">
        <v>1109</v>
      </c>
      <c r="J60" t="s">
        <v>50</v>
      </c>
      <c r="K60" t="s">
        <v>48</v>
      </c>
      <c r="L60" t="s">
        <v>21</v>
      </c>
      <c r="M60" t="s">
        <v>22</v>
      </c>
      <c r="N60">
        <v>3</v>
      </c>
    </row>
    <row r="61" spans="1:14" x14ac:dyDescent="0.25">
      <c r="A61">
        <v>60</v>
      </c>
      <c r="B61">
        <v>24</v>
      </c>
      <c r="C61" t="s">
        <v>23</v>
      </c>
      <c r="D61" t="s">
        <v>36</v>
      </c>
      <c r="E61" t="s">
        <v>24</v>
      </c>
      <c r="F61" t="s">
        <v>45</v>
      </c>
      <c r="G61" s="4">
        <v>28</v>
      </c>
      <c r="H61" t="s">
        <v>46</v>
      </c>
      <c r="I61" s="4">
        <v>1983</v>
      </c>
      <c r="J61" t="s">
        <v>19</v>
      </c>
      <c r="K61" t="s">
        <v>38</v>
      </c>
      <c r="L61" t="s">
        <v>28</v>
      </c>
      <c r="M61" t="s">
        <v>22</v>
      </c>
      <c r="N61">
        <v>3</v>
      </c>
    </row>
    <row r="62" spans="1:14" x14ac:dyDescent="0.25">
      <c r="A62">
        <v>61</v>
      </c>
      <c r="B62">
        <v>29</v>
      </c>
      <c r="C62" t="s">
        <v>23</v>
      </c>
      <c r="D62" t="s">
        <v>36</v>
      </c>
      <c r="E62" t="s">
        <v>16</v>
      </c>
      <c r="F62" t="s">
        <v>30</v>
      </c>
      <c r="G62" s="4">
        <v>10</v>
      </c>
      <c r="H62" t="s">
        <v>47</v>
      </c>
      <c r="I62" s="4">
        <v>1238</v>
      </c>
      <c r="J62" t="s">
        <v>41</v>
      </c>
      <c r="K62" t="s">
        <v>34</v>
      </c>
      <c r="L62" t="s">
        <v>21</v>
      </c>
      <c r="M62" t="s">
        <v>31</v>
      </c>
      <c r="N62">
        <v>1</v>
      </c>
    </row>
    <row r="63" spans="1:14" x14ac:dyDescent="0.25">
      <c r="A63">
        <v>62</v>
      </c>
      <c r="B63">
        <v>21</v>
      </c>
      <c r="C63" t="s">
        <v>29</v>
      </c>
      <c r="D63" t="s">
        <v>32</v>
      </c>
      <c r="E63" t="s">
        <v>39</v>
      </c>
      <c r="F63" t="s">
        <v>30</v>
      </c>
      <c r="G63" s="4">
        <v>5</v>
      </c>
      <c r="H63" t="s">
        <v>37</v>
      </c>
      <c r="I63" s="4">
        <v>2351</v>
      </c>
      <c r="J63" t="s">
        <v>41</v>
      </c>
      <c r="K63" t="s">
        <v>34</v>
      </c>
      <c r="L63" t="s">
        <v>28</v>
      </c>
      <c r="M63" t="s">
        <v>22</v>
      </c>
      <c r="N63">
        <v>3</v>
      </c>
    </row>
    <row r="64" spans="1:14" x14ac:dyDescent="0.25">
      <c r="A64">
        <v>63</v>
      </c>
      <c r="B64">
        <v>20</v>
      </c>
      <c r="C64" t="s">
        <v>23</v>
      </c>
      <c r="D64" t="s">
        <v>36</v>
      </c>
      <c r="E64" t="s">
        <v>24</v>
      </c>
      <c r="F64" t="s">
        <v>33</v>
      </c>
      <c r="G64" s="4">
        <v>17</v>
      </c>
      <c r="H64" t="s">
        <v>37</v>
      </c>
      <c r="I64" s="4">
        <v>2014</v>
      </c>
      <c r="J64" t="s">
        <v>44</v>
      </c>
      <c r="K64" t="s">
        <v>34</v>
      </c>
      <c r="L64" t="s">
        <v>21</v>
      </c>
      <c r="M64" t="s">
        <v>22</v>
      </c>
      <c r="N64">
        <v>1</v>
      </c>
    </row>
    <row r="65" spans="1:14" x14ac:dyDescent="0.25">
      <c r="A65">
        <v>64</v>
      </c>
      <c r="B65">
        <v>21</v>
      </c>
      <c r="C65" t="s">
        <v>23</v>
      </c>
      <c r="D65" t="s">
        <v>36</v>
      </c>
      <c r="E65" t="s">
        <v>16</v>
      </c>
      <c r="F65" t="s">
        <v>45</v>
      </c>
      <c r="G65" s="4">
        <v>22</v>
      </c>
      <c r="H65" t="s">
        <v>26</v>
      </c>
      <c r="I65" s="4">
        <v>1704</v>
      </c>
      <c r="J65" t="s">
        <v>49</v>
      </c>
      <c r="K65" t="s">
        <v>20</v>
      </c>
      <c r="L65" t="s">
        <v>28</v>
      </c>
      <c r="M65" t="s">
        <v>31</v>
      </c>
      <c r="N65">
        <v>5</v>
      </c>
    </row>
    <row r="66" spans="1:14" x14ac:dyDescent="0.25">
      <c r="A66">
        <v>65</v>
      </c>
      <c r="B66">
        <v>27</v>
      </c>
      <c r="C66" t="s">
        <v>23</v>
      </c>
      <c r="D66" t="s">
        <v>36</v>
      </c>
      <c r="E66" t="s">
        <v>16</v>
      </c>
      <c r="F66" t="s">
        <v>25</v>
      </c>
      <c r="G66" s="4">
        <v>23</v>
      </c>
      <c r="H66" t="s">
        <v>40</v>
      </c>
      <c r="I66" s="4">
        <v>2543</v>
      </c>
      <c r="J66" t="s">
        <v>35</v>
      </c>
      <c r="K66" t="s">
        <v>48</v>
      </c>
      <c r="L66" t="s">
        <v>21</v>
      </c>
      <c r="M66" t="s">
        <v>22</v>
      </c>
      <c r="N66">
        <v>1</v>
      </c>
    </row>
    <row r="67" spans="1:14" x14ac:dyDescent="0.25">
      <c r="A67">
        <v>66</v>
      </c>
      <c r="B67">
        <v>23</v>
      </c>
      <c r="C67" t="s">
        <v>14</v>
      </c>
      <c r="D67" t="s">
        <v>32</v>
      </c>
      <c r="E67" t="s">
        <v>39</v>
      </c>
      <c r="F67" t="s">
        <v>17</v>
      </c>
      <c r="G67" s="4">
        <v>22</v>
      </c>
      <c r="H67" t="s">
        <v>43</v>
      </c>
      <c r="I67" s="4">
        <v>307</v>
      </c>
      <c r="J67" t="s">
        <v>35</v>
      </c>
      <c r="K67" t="s">
        <v>48</v>
      </c>
      <c r="L67" t="s">
        <v>21</v>
      </c>
      <c r="M67" t="s">
        <v>31</v>
      </c>
      <c r="N67">
        <v>2</v>
      </c>
    </row>
    <row r="68" spans="1:14" x14ac:dyDescent="0.25">
      <c r="A68">
        <v>67</v>
      </c>
      <c r="B68">
        <v>40</v>
      </c>
      <c r="C68" t="s">
        <v>14</v>
      </c>
      <c r="D68" t="s">
        <v>36</v>
      </c>
      <c r="E68" t="s">
        <v>16</v>
      </c>
      <c r="F68" t="s">
        <v>30</v>
      </c>
      <c r="G68" s="4">
        <v>14</v>
      </c>
      <c r="H68" t="s">
        <v>40</v>
      </c>
      <c r="I68" s="4">
        <v>2879</v>
      </c>
      <c r="J68" t="s">
        <v>45</v>
      </c>
      <c r="K68" t="s">
        <v>48</v>
      </c>
      <c r="L68" t="s">
        <v>21</v>
      </c>
      <c r="M68" t="s">
        <v>22</v>
      </c>
      <c r="N68">
        <v>4</v>
      </c>
    </row>
    <row r="69" spans="1:14" x14ac:dyDescent="0.25">
      <c r="A69">
        <v>68</v>
      </c>
      <c r="B69">
        <v>26</v>
      </c>
      <c r="C69" t="s">
        <v>14</v>
      </c>
      <c r="D69" t="s">
        <v>32</v>
      </c>
      <c r="E69" t="s">
        <v>24</v>
      </c>
      <c r="F69" t="s">
        <v>17</v>
      </c>
      <c r="G69" s="4">
        <v>9</v>
      </c>
      <c r="H69" t="s">
        <v>46</v>
      </c>
      <c r="I69" s="4">
        <v>292</v>
      </c>
      <c r="J69" t="s">
        <v>49</v>
      </c>
      <c r="K69" t="s">
        <v>48</v>
      </c>
      <c r="L69" t="s">
        <v>28</v>
      </c>
      <c r="M69" t="s">
        <v>31</v>
      </c>
      <c r="N69">
        <v>1</v>
      </c>
    </row>
    <row r="70" spans="1:14" x14ac:dyDescent="0.25">
      <c r="A70">
        <v>69</v>
      </c>
      <c r="B70">
        <v>40</v>
      </c>
      <c r="C70" t="s">
        <v>23</v>
      </c>
      <c r="D70" t="s">
        <v>32</v>
      </c>
      <c r="E70" t="s">
        <v>39</v>
      </c>
      <c r="F70" t="s">
        <v>33</v>
      </c>
      <c r="G70" s="4">
        <v>17</v>
      </c>
      <c r="H70" t="s">
        <v>47</v>
      </c>
      <c r="I70" s="4">
        <v>1115</v>
      </c>
      <c r="J70" t="s">
        <v>45</v>
      </c>
      <c r="K70" t="s">
        <v>34</v>
      </c>
      <c r="L70" t="s">
        <v>28</v>
      </c>
      <c r="M70" t="s">
        <v>22</v>
      </c>
      <c r="N70">
        <v>5</v>
      </c>
    </row>
    <row r="71" spans="1:14" x14ac:dyDescent="0.25">
      <c r="A71">
        <v>70</v>
      </c>
      <c r="B71">
        <v>20</v>
      </c>
      <c r="C71" t="s">
        <v>23</v>
      </c>
      <c r="D71" t="s">
        <v>15</v>
      </c>
      <c r="E71" t="s">
        <v>24</v>
      </c>
      <c r="F71" t="s">
        <v>30</v>
      </c>
      <c r="G71" s="4">
        <v>12</v>
      </c>
      <c r="H71" t="s">
        <v>47</v>
      </c>
      <c r="I71" s="4">
        <v>2761</v>
      </c>
      <c r="J71" t="s">
        <v>44</v>
      </c>
      <c r="K71" t="s">
        <v>20</v>
      </c>
      <c r="L71" t="s">
        <v>28</v>
      </c>
      <c r="M71" t="s">
        <v>31</v>
      </c>
      <c r="N71">
        <v>5</v>
      </c>
    </row>
    <row r="72" spans="1:14" x14ac:dyDescent="0.25">
      <c r="A72">
        <v>71</v>
      </c>
      <c r="B72">
        <v>23</v>
      </c>
      <c r="C72" t="s">
        <v>14</v>
      </c>
      <c r="D72" t="s">
        <v>32</v>
      </c>
      <c r="E72" t="s">
        <v>39</v>
      </c>
      <c r="F72" t="s">
        <v>42</v>
      </c>
      <c r="G72" s="4">
        <v>23</v>
      </c>
      <c r="H72" t="s">
        <v>34</v>
      </c>
      <c r="I72" s="4">
        <v>1785</v>
      </c>
      <c r="J72" t="s">
        <v>50</v>
      </c>
      <c r="K72" t="s">
        <v>48</v>
      </c>
      <c r="L72" t="s">
        <v>21</v>
      </c>
      <c r="M72" t="s">
        <v>31</v>
      </c>
      <c r="N72">
        <v>4</v>
      </c>
    </row>
    <row r="73" spans="1:14" x14ac:dyDescent="0.25">
      <c r="A73">
        <v>72</v>
      </c>
      <c r="B73">
        <v>31</v>
      </c>
      <c r="C73" t="s">
        <v>23</v>
      </c>
      <c r="D73" t="s">
        <v>32</v>
      </c>
      <c r="E73" t="s">
        <v>24</v>
      </c>
      <c r="F73" t="s">
        <v>33</v>
      </c>
      <c r="G73" s="4">
        <v>27</v>
      </c>
      <c r="H73" t="s">
        <v>43</v>
      </c>
      <c r="I73" s="4">
        <v>2029</v>
      </c>
      <c r="J73" t="s">
        <v>19</v>
      </c>
      <c r="K73" t="s">
        <v>34</v>
      </c>
      <c r="L73" t="s">
        <v>28</v>
      </c>
      <c r="M73" t="s">
        <v>31</v>
      </c>
      <c r="N73">
        <v>3</v>
      </c>
    </row>
    <row r="74" spans="1:14" x14ac:dyDescent="0.25">
      <c r="A74">
        <v>73</v>
      </c>
      <c r="B74">
        <v>21</v>
      </c>
      <c r="C74" t="s">
        <v>14</v>
      </c>
      <c r="D74" t="s">
        <v>36</v>
      </c>
      <c r="E74" t="s">
        <v>24</v>
      </c>
      <c r="F74" t="s">
        <v>42</v>
      </c>
      <c r="G74" s="4">
        <v>29</v>
      </c>
      <c r="H74" t="s">
        <v>26</v>
      </c>
      <c r="I74" s="4">
        <v>1655</v>
      </c>
      <c r="J74" t="s">
        <v>41</v>
      </c>
      <c r="K74" t="s">
        <v>38</v>
      </c>
      <c r="L74" t="s">
        <v>28</v>
      </c>
      <c r="M74" t="s">
        <v>31</v>
      </c>
      <c r="N74">
        <v>5</v>
      </c>
    </row>
    <row r="75" spans="1:14" x14ac:dyDescent="0.25">
      <c r="A75">
        <v>74</v>
      </c>
      <c r="B75">
        <v>38</v>
      </c>
      <c r="C75" t="s">
        <v>29</v>
      </c>
      <c r="D75" t="s">
        <v>36</v>
      </c>
      <c r="E75" t="s">
        <v>16</v>
      </c>
      <c r="F75" t="s">
        <v>30</v>
      </c>
      <c r="G75" s="4">
        <v>19</v>
      </c>
      <c r="H75" t="s">
        <v>43</v>
      </c>
      <c r="I75" s="4">
        <v>211</v>
      </c>
      <c r="J75" t="s">
        <v>49</v>
      </c>
      <c r="K75" t="s">
        <v>48</v>
      </c>
      <c r="L75" t="s">
        <v>21</v>
      </c>
      <c r="M75" t="s">
        <v>22</v>
      </c>
      <c r="N75">
        <v>2</v>
      </c>
    </row>
    <row r="76" spans="1:14" x14ac:dyDescent="0.25">
      <c r="A76">
        <v>75</v>
      </c>
      <c r="B76">
        <v>40</v>
      </c>
      <c r="C76" t="s">
        <v>14</v>
      </c>
      <c r="D76" t="s">
        <v>36</v>
      </c>
      <c r="E76" t="s">
        <v>39</v>
      </c>
      <c r="F76" t="s">
        <v>33</v>
      </c>
      <c r="G76" s="4">
        <v>10</v>
      </c>
      <c r="H76" t="s">
        <v>40</v>
      </c>
      <c r="I76" s="4">
        <v>1272</v>
      </c>
      <c r="J76" t="s">
        <v>19</v>
      </c>
      <c r="K76" t="s">
        <v>20</v>
      </c>
      <c r="L76" t="s">
        <v>21</v>
      </c>
      <c r="M76" t="s">
        <v>22</v>
      </c>
      <c r="N76">
        <v>5</v>
      </c>
    </row>
    <row r="77" spans="1:14" x14ac:dyDescent="0.25">
      <c r="A77">
        <v>76</v>
      </c>
      <c r="B77">
        <v>33</v>
      </c>
      <c r="C77" t="s">
        <v>23</v>
      </c>
      <c r="D77" t="s">
        <v>32</v>
      </c>
      <c r="E77" t="s">
        <v>39</v>
      </c>
      <c r="F77" t="s">
        <v>42</v>
      </c>
      <c r="G77" s="4">
        <v>27</v>
      </c>
      <c r="H77" t="s">
        <v>43</v>
      </c>
      <c r="I77" s="4">
        <v>1195</v>
      </c>
      <c r="J77" t="s">
        <v>27</v>
      </c>
      <c r="K77" t="s">
        <v>20</v>
      </c>
      <c r="L77" t="s">
        <v>21</v>
      </c>
      <c r="M77" t="s">
        <v>31</v>
      </c>
      <c r="N77">
        <v>5</v>
      </c>
    </row>
    <row r="78" spans="1:14" x14ac:dyDescent="0.25">
      <c r="A78">
        <v>77</v>
      </c>
      <c r="B78">
        <v>24</v>
      </c>
      <c r="C78" t="s">
        <v>14</v>
      </c>
      <c r="D78" t="s">
        <v>32</v>
      </c>
      <c r="E78" t="s">
        <v>39</v>
      </c>
      <c r="F78" t="s">
        <v>30</v>
      </c>
      <c r="G78" s="4">
        <v>24</v>
      </c>
      <c r="H78" t="s">
        <v>46</v>
      </c>
      <c r="I78" s="4">
        <v>2081</v>
      </c>
      <c r="J78" t="s">
        <v>41</v>
      </c>
      <c r="K78" t="s">
        <v>34</v>
      </c>
      <c r="L78" t="s">
        <v>28</v>
      </c>
      <c r="M78" t="s">
        <v>31</v>
      </c>
      <c r="N78">
        <v>2</v>
      </c>
    </row>
    <row r="79" spans="1:14" x14ac:dyDescent="0.25">
      <c r="A79">
        <v>78</v>
      </c>
      <c r="B79">
        <v>22</v>
      </c>
      <c r="C79" t="s">
        <v>29</v>
      </c>
      <c r="D79" t="s">
        <v>32</v>
      </c>
      <c r="E79" t="s">
        <v>24</v>
      </c>
      <c r="F79" t="s">
        <v>45</v>
      </c>
      <c r="G79" s="4">
        <v>19</v>
      </c>
      <c r="H79" t="s">
        <v>26</v>
      </c>
      <c r="I79" s="4">
        <v>2206</v>
      </c>
      <c r="J79" t="s">
        <v>49</v>
      </c>
      <c r="K79" t="s">
        <v>34</v>
      </c>
      <c r="L79" t="s">
        <v>21</v>
      </c>
      <c r="M79" t="s">
        <v>22</v>
      </c>
      <c r="N79">
        <v>4</v>
      </c>
    </row>
    <row r="80" spans="1:14" x14ac:dyDescent="0.25">
      <c r="A80">
        <v>79</v>
      </c>
      <c r="B80">
        <v>36</v>
      </c>
      <c r="C80" t="s">
        <v>14</v>
      </c>
      <c r="D80" t="s">
        <v>32</v>
      </c>
      <c r="E80" t="s">
        <v>24</v>
      </c>
      <c r="F80" t="s">
        <v>42</v>
      </c>
      <c r="G80" s="4">
        <v>17</v>
      </c>
      <c r="H80" t="s">
        <v>26</v>
      </c>
      <c r="I80" s="4">
        <v>956</v>
      </c>
      <c r="J80" t="s">
        <v>45</v>
      </c>
      <c r="K80" t="s">
        <v>38</v>
      </c>
      <c r="L80" t="s">
        <v>28</v>
      </c>
      <c r="M80" t="s">
        <v>22</v>
      </c>
      <c r="N80">
        <v>4</v>
      </c>
    </row>
    <row r="81" spans="1:14" x14ac:dyDescent="0.25">
      <c r="A81">
        <v>80</v>
      </c>
      <c r="B81">
        <v>22</v>
      </c>
      <c r="C81" t="s">
        <v>14</v>
      </c>
      <c r="D81" t="s">
        <v>32</v>
      </c>
      <c r="E81" t="s">
        <v>16</v>
      </c>
      <c r="F81" t="s">
        <v>45</v>
      </c>
      <c r="G81" s="4">
        <v>21</v>
      </c>
      <c r="H81" t="s">
        <v>43</v>
      </c>
      <c r="I81" s="4">
        <v>2417</v>
      </c>
      <c r="J81" t="s">
        <v>41</v>
      </c>
      <c r="K81" t="s">
        <v>38</v>
      </c>
      <c r="L81" t="s">
        <v>28</v>
      </c>
      <c r="M81" t="s">
        <v>22</v>
      </c>
      <c r="N81">
        <v>3</v>
      </c>
    </row>
    <row r="82" spans="1:14" x14ac:dyDescent="0.25">
      <c r="A82">
        <v>81</v>
      </c>
      <c r="B82">
        <v>20</v>
      </c>
      <c r="C82" t="s">
        <v>23</v>
      </c>
      <c r="D82" t="s">
        <v>36</v>
      </c>
      <c r="E82" t="s">
        <v>39</v>
      </c>
      <c r="F82" t="s">
        <v>17</v>
      </c>
      <c r="G82" s="4">
        <v>20</v>
      </c>
      <c r="H82" t="s">
        <v>18</v>
      </c>
      <c r="I82" s="4">
        <v>1085</v>
      </c>
      <c r="J82" t="s">
        <v>50</v>
      </c>
      <c r="K82" t="s">
        <v>20</v>
      </c>
      <c r="L82" t="s">
        <v>28</v>
      </c>
      <c r="M82" t="s">
        <v>31</v>
      </c>
      <c r="N82">
        <v>3</v>
      </c>
    </row>
    <row r="83" spans="1:14" x14ac:dyDescent="0.25">
      <c r="A83">
        <v>82</v>
      </c>
      <c r="B83">
        <v>35</v>
      </c>
      <c r="C83" t="s">
        <v>14</v>
      </c>
      <c r="D83" t="s">
        <v>36</v>
      </c>
      <c r="E83" t="s">
        <v>24</v>
      </c>
      <c r="F83" t="s">
        <v>30</v>
      </c>
      <c r="G83" s="4">
        <v>6</v>
      </c>
      <c r="H83" t="s">
        <v>40</v>
      </c>
      <c r="I83" s="4">
        <v>2529</v>
      </c>
      <c r="J83" t="s">
        <v>19</v>
      </c>
      <c r="K83" t="s">
        <v>20</v>
      </c>
      <c r="L83" t="s">
        <v>21</v>
      </c>
      <c r="M83" t="s">
        <v>22</v>
      </c>
      <c r="N83">
        <v>1</v>
      </c>
    </row>
    <row r="84" spans="1:14" x14ac:dyDescent="0.25">
      <c r="A84">
        <v>83</v>
      </c>
      <c r="B84">
        <v>32</v>
      </c>
      <c r="C84" t="s">
        <v>14</v>
      </c>
      <c r="D84" t="s">
        <v>15</v>
      </c>
      <c r="E84" t="s">
        <v>39</v>
      </c>
      <c r="F84" t="s">
        <v>33</v>
      </c>
      <c r="G84" s="4">
        <v>10</v>
      </c>
      <c r="H84" t="s">
        <v>46</v>
      </c>
      <c r="I84" s="4">
        <v>2842</v>
      </c>
      <c r="J84" t="s">
        <v>50</v>
      </c>
      <c r="K84" t="s">
        <v>34</v>
      </c>
      <c r="L84" t="s">
        <v>28</v>
      </c>
      <c r="M84" t="s">
        <v>22</v>
      </c>
      <c r="N84">
        <v>3</v>
      </c>
    </row>
    <row r="85" spans="1:14" x14ac:dyDescent="0.25">
      <c r="A85">
        <v>84</v>
      </c>
      <c r="B85">
        <v>25</v>
      </c>
      <c r="C85" t="s">
        <v>23</v>
      </c>
      <c r="D85" t="s">
        <v>15</v>
      </c>
      <c r="E85" t="s">
        <v>16</v>
      </c>
      <c r="F85" t="s">
        <v>25</v>
      </c>
      <c r="G85" s="4">
        <v>21</v>
      </c>
      <c r="H85" t="s">
        <v>18</v>
      </c>
      <c r="I85" s="4">
        <v>1687</v>
      </c>
      <c r="J85" t="s">
        <v>45</v>
      </c>
      <c r="K85" t="s">
        <v>38</v>
      </c>
      <c r="L85" t="s">
        <v>28</v>
      </c>
      <c r="M85" t="s">
        <v>22</v>
      </c>
      <c r="N85">
        <v>5</v>
      </c>
    </row>
    <row r="86" spans="1:14" x14ac:dyDescent="0.25">
      <c r="A86">
        <v>85</v>
      </c>
      <c r="B86">
        <v>25</v>
      </c>
      <c r="C86" t="s">
        <v>29</v>
      </c>
      <c r="D86" t="s">
        <v>32</v>
      </c>
      <c r="E86" t="s">
        <v>24</v>
      </c>
      <c r="F86" t="s">
        <v>33</v>
      </c>
      <c r="G86" s="4">
        <v>19</v>
      </c>
      <c r="H86" t="s">
        <v>43</v>
      </c>
      <c r="I86" s="4">
        <v>2612</v>
      </c>
      <c r="J86" t="s">
        <v>35</v>
      </c>
      <c r="K86" t="s">
        <v>38</v>
      </c>
      <c r="L86" t="s">
        <v>21</v>
      </c>
      <c r="M86" t="s">
        <v>31</v>
      </c>
      <c r="N86">
        <v>3</v>
      </c>
    </row>
    <row r="87" spans="1:14" x14ac:dyDescent="0.25">
      <c r="A87">
        <v>86</v>
      </c>
      <c r="B87">
        <v>29</v>
      </c>
      <c r="C87" t="s">
        <v>23</v>
      </c>
      <c r="D87" t="s">
        <v>32</v>
      </c>
      <c r="E87" t="s">
        <v>39</v>
      </c>
      <c r="F87" t="s">
        <v>30</v>
      </c>
      <c r="G87" s="4">
        <v>23</v>
      </c>
      <c r="H87" t="s">
        <v>40</v>
      </c>
      <c r="I87" s="4">
        <v>1225</v>
      </c>
      <c r="J87" t="s">
        <v>45</v>
      </c>
      <c r="K87" t="s">
        <v>20</v>
      </c>
      <c r="L87" t="s">
        <v>21</v>
      </c>
      <c r="M87" t="s">
        <v>22</v>
      </c>
      <c r="N87">
        <v>4</v>
      </c>
    </row>
    <row r="88" spans="1:14" x14ac:dyDescent="0.25">
      <c r="A88">
        <v>87</v>
      </c>
      <c r="B88">
        <v>30</v>
      </c>
      <c r="C88" t="s">
        <v>29</v>
      </c>
      <c r="D88" t="s">
        <v>36</v>
      </c>
      <c r="E88" t="s">
        <v>39</v>
      </c>
      <c r="F88" t="s">
        <v>33</v>
      </c>
      <c r="G88" s="4">
        <v>23</v>
      </c>
      <c r="H88" t="s">
        <v>26</v>
      </c>
      <c r="I88" s="4">
        <v>1470</v>
      </c>
      <c r="J88" t="s">
        <v>35</v>
      </c>
      <c r="K88" t="s">
        <v>48</v>
      </c>
      <c r="L88" t="s">
        <v>21</v>
      </c>
      <c r="M88" t="s">
        <v>31</v>
      </c>
      <c r="N88">
        <v>5</v>
      </c>
    </row>
    <row r="89" spans="1:14" x14ac:dyDescent="0.25">
      <c r="A89">
        <v>88</v>
      </c>
      <c r="B89">
        <v>27</v>
      </c>
      <c r="C89" t="s">
        <v>29</v>
      </c>
      <c r="D89" t="s">
        <v>15</v>
      </c>
      <c r="E89" t="s">
        <v>24</v>
      </c>
      <c r="F89" t="s">
        <v>25</v>
      </c>
      <c r="G89" s="4">
        <v>29</v>
      </c>
      <c r="H89" t="s">
        <v>46</v>
      </c>
      <c r="I89" s="4">
        <v>942</v>
      </c>
      <c r="J89" t="s">
        <v>44</v>
      </c>
      <c r="K89" t="s">
        <v>48</v>
      </c>
      <c r="L89" t="s">
        <v>21</v>
      </c>
      <c r="M89" t="s">
        <v>31</v>
      </c>
      <c r="N89">
        <v>5</v>
      </c>
    </row>
    <row r="90" spans="1:14" x14ac:dyDescent="0.25">
      <c r="A90">
        <v>89</v>
      </c>
      <c r="B90">
        <v>32</v>
      </c>
      <c r="C90" t="s">
        <v>23</v>
      </c>
      <c r="D90" t="s">
        <v>15</v>
      </c>
      <c r="E90" t="s">
        <v>16</v>
      </c>
      <c r="F90" t="s">
        <v>30</v>
      </c>
      <c r="G90" s="4">
        <v>6</v>
      </c>
      <c r="H90" t="s">
        <v>34</v>
      </c>
      <c r="I90" s="4">
        <v>2373</v>
      </c>
      <c r="J90" t="s">
        <v>45</v>
      </c>
      <c r="K90" t="s">
        <v>38</v>
      </c>
      <c r="L90" t="s">
        <v>21</v>
      </c>
      <c r="M90" t="s">
        <v>22</v>
      </c>
      <c r="N90">
        <v>3</v>
      </c>
    </row>
    <row r="91" spans="1:14" x14ac:dyDescent="0.25">
      <c r="A91">
        <v>90</v>
      </c>
      <c r="B91">
        <v>35</v>
      </c>
      <c r="C91" t="s">
        <v>29</v>
      </c>
      <c r="D91" t="s">
        <v>15</v>
      </c>
      <c r="E91" t="s">
        <v>39</v>
      </c>
      <c r="F91" t="s">
        <v>42</v>
      </c>
      <c r="G91" s="4">
        <v>16</v>
      </c>
      <c r="H91" t="s">
        <v>46</v>
      </c>
      <c r="I91" s="4">
        <v>2174</v>
      </c>
      <c r="J91" t="s">
        <v>50</v>
      </c>
      <c r="K91" t="s">
        <v>48</v>
      </c>
      <c r="L91" t="s">
        <v>28</v>
      </c>
      <c r="M91" t="s">
        <v>22</v>
      </c>
      <c r="N91">
        <v>5</v>
      </c>
    </row>
    <row r="92" spans="1:14" x14ac:dyDescent="0.25">
      <c r="A92">
        <v>91</v>
      </c>
      <c r="B92">
        <v>22</v>
      </c>
      <c r="C92" t="s">
        <v>23</v>
      </c>
      <c r="D92" t="s">
        <v>32</v>
      </c>
      <c r="E92" t="s">
        <v>16</v>
      </c>
      <c r="F92" t="s">
        <v>42</v>
      </c>
      <c r="G92" s="4">
        <v>29</v>
      </c>
      <c r="H92" t="s">
        <v>47</v>
      </c>
      <c r="I92" s="4">
        <v>924</v>
      </c>
      <c r="J92" t="s">
        <v>35</v>
      </c>
      <c r="K92" t="s">
        <v>48</v>
      </c>
      <c r="L92" t="s">
        <v>28</v>
      </c>
      <c r="M92" t="s">
        <v>31</v>
      </c>
      <c r="N92">
        <v>4</v>
      </c>
    </row>
    <row r="93" spans="1:14" x14ac:dyDescent="0.25">
      <c r="A93">
        <v>92</v>
      </c>
      <c r="B93">
        <v>39</v>
      </c>
      <c r="C93" t="s">
        <v>23</v>
      </c>
      <c r="D93" t="s">
        <v>32</v>
      </c>
      <c r="E93" t="s">
        <v>24</v>
      </c>
      <c r="F93" t="s">
        <v>30</v>
      </c>
      <c r="G93" s="4">
        <v>28</v>
      </c>
      <c r="H93" t="s">
        <v>18</v>
      </c>
      <c r="I93" s="4">
        <v>2753</v>
      </c>
      <c r="J93" t="s">
        <v>27</v>
      </c>
      <c r="K93" t="s">
        <v>20</v>
      </c>
      <c r="L93" t="s">
        <v>21</v>
      </c>
      <c r="M93" t="s">
        <v>31</v>
      </c>
      <c r="N93">
        <v>3</v>
      </c>
    </row>
    <row r="94" spans="1:14" x14ac:dyDescent="0.25">
      <c r="A94">
        <v>93</v>
      </c>
      <c r="B94">
        <v>37</v>
      </c>
      <c r="C94" t="s">
        <v>23</v>
      </c>
      <c r="D94" t="s">
        <v>32</v>
      </c>
      <c r="E94" t="s">
        <v>24</v>
      </c>
      <c r="F94" t="s">
        <v>30</v>
      </c>
      <c r="G94" s="4">
        <v>12</v>
      </c>
      <c r="H94" t="s">
        <v>26</v>
      </c>
      <c r="I94" s="4">
        <v>2652</v>
      </c>
      <c r="J94" t="s">
        <v>19</v>
      </c>
      <c r="K94" t="s">
        <v>38</v>
      </c>
      <c r="L94" t="s">
        <v>21</v>
      </c>
      <c r="M94" t="s">
        <v>22</v>
      </c>
      <c r="N94">
        <v>1</v>
      </c>
    </row>
    <row r="95" spans="1:14" x14ac:dyDescent="0.25">
      <c r="A95">
        <v>94</v>
      </c>
      <c r="B95">
        <v>27</v>
      </c>
      <c r="C95" t="s">
        <v>14</v>
      </c>
      <c r="D95" t="s">
        <v>36</v>
      </c>
      <c r="E95" t="s">
        <v>16</v>
      </c>
      <c r="F95" t="s">
        <v>42</v>
      </c>
      <c r="G95" s="4">
        <v>20</v>
      </c>
      <c r="H95" t="s">
        <v>43</v>
      </c>
      <c r="I95" s="4">
        <v>475</v>
      </c>
      <c r="J95" t="s">
        <v>50</v>
      </c>
      <c r="K95" t="s">
        <v>20</v>
      </c>
      <c r="L95" t="s">
        <v>21</v>
      </c>
      <c r="M95" t="s">
        <v>31</v>
      </c>
      <c r="N95">
        <v>1</v>
      </c>
    </row>
    <row r="96" spans="1:14" x14ac:dyDescent="0.25">
      <c r="A96">
        <v>95</v>
      </c>
      <c r="B96">
        <v>38</v>
      </c>
      <c r="C96" t="s">
        <v>29</v>
      </c>
      <c r="D96" t="s">
        <v>32</v>
      </c>
      <c r="E96" t="s">
        <v>16</v>
      </c>
      <c r="F96" t="s">
        <v>17</v>
      </c>
      <c r="G96" s="4">
        <v>8</v>
      </c>
      <c r="H96" t="s">
        <v>34</v>
      </c>
      <c r="I96" s="4">
        <v>2004</v>
      </c>
      <c r="J96" t="s">
        <v>27</v>
      </c>
      <c r="K96" t="s">
        <v>20</v>
      </c>
      <c r="L96" t="s">
        <v>28</v>
      </c>
      <c r="M96" t="s">
        <v>22</v>
      </c>
      <c r="N96">
        <v>5</v>
      </c>
    </row>
    <row r="97" spans="1:14" x14ac:dyDescent="0.25">
      <c r="A97">
        <v>96</v>
      </c>
      <c r="B97">
        <v>29</v>
      </c>
      <c r="C97" t="s">
        <v>23</v>
      </c>
      <c r="D97" t="s">
        <v>36</v>
      </c>
      <c r="E97" t="s">
        <v>39</v>
      </c>
      <c r="F97" t="s">
        <v>33</v>
      </c>
      <c r="G97" s="4">
        <v>8</v>
      </c>
      <c r="H97" t="s">
        <v>26</v>
      </c>
      <c r="I97" s="4">
        <v>2808</v>
      </c>
      <c r="J97" t="s">
        <v>35</v>
      </c>
      <c r="K97" t="s">
        <v>38</v>
      </c>
      <c r="L97" t="s">
        <v>21</v>
      </c>
      <c r="M97" t="s">
        <v>31</v>
      </c>
      <c r="N97">
        <v>3</v>
      </c>
    </row>
    <row r="98" spans="1:14" x14ac:dyDescent="0.25">
      <c r="A98">
        <v>97</v>
      </c>
      <c r="B98">
        <v>20</v>
      </c>
      <c r="C98" t="s">
        <v>14</v>
      </c>
      <c r="D98" t="s">
        <v>15</v>
      </c>
      <c r="E98" t="s">
        <v>39</v>
      </c>
      <c r="F98" t="s">
        <v>25</v>
      </c>
      <c r="G98" s="4">
        <v>26</v>
      </c>
      <c r="H98" t="s">
        <v>37</v>
      </c>
      <c r="I98" s="4">
        <v>868</v>
      </c>
      <c r="J98" t="s">
        <v>27</v>
      </c>
      <c r="K98" t="s">
        <v>48</v>
      </c>
      <c r="L98" t="s">
        <v>21</v>
      </c>
      <c r="M98" t="s">
        <v>22</v>
      </c>
      <c r="N98">
        <v>5</v>
      </c>
    </row>
    <row r="99" spans="1:14" x14ac:dyDescent="0.25">
      <c r="A99">
        <v>98</v>
      </c>
      <c r="B99">
        <v>25</v>
      </c>
      <c r="C99" t="s">
        <v>14</v>
      </c>
      <c r="D99" t="s">
        <v>32</v>
      </c>
      <c r="E99" t="s">
        <v>16</v>
      </c>
      <c r="F99" t="s">
        <v>25</v>
      </c>
      <c r="G99" s="4">
        <v>15</v>
      </c>
      <c r="H99" t="s">
        <v>46</v>
      </c>
      <c r="I99" s="4">
        <v>604</v>
      </c>
      <c r="J99" t="s">
        <v>44</v>
      </c>
      <c r="K99" t="s">
        <v>48</v>
      </c>
      <c r="L99" t="s">
        <v>21</v>
      </c>
      <c r="M99" t="s">
        <v>22</v>
      </c>
      <c r="N99">
        <v>5</v>
      </c>
    </row>
    <row r="100" spans="1:14" x14ac:dyDescent="0.25">
      <c r="A100">
        <v>99</v>
      </c>
      <c r="B100">
        <v>18</v>
      </c>
      <c r="C100" t="s">
        <v>29</v>
      </c>
      <c r="D100" t="s">
        <v>15</v>
      </c>
      <c r="E100" t="s">
        <v>16</v>
      </c>
      <c r="F100" t="s">
        <v>30</v>
      </c>
      <c r="G100" s="4">
        <v>16</v>
      </c>
      <c r="H100" t="s">
        <v>47</v>
      </c>
      <c r="I100" s="4">
        <v>974</v>
      </c>
      <c r="J100" t="s">
        <v>44</v>
      </c>
      <c r="K100" t="s">
        <v>20</v>
      </c>
      <c r="L100" t="s">
        <v>21</v>
      </c>
      <c r="M100" t="s">
        <v>22</v>
      </c>
      <c r="N100">
        <v>5</v>
      </c>
    </row>
    <row r="101" spans="1:14" x14ac:dyDescent="0.25">
      <c r="A101">
        <v>100</v>
      </c>
      <c r="B101">
        <v>33</v>
      </c>
      <c r="C101" t="s">
        <v>23</v>
      </c>
      <c r="D101" t="s">
        <v>15</v>
      </c>
      <c r="E101" t="s">
        <v>39</v>
      </c>
      <c r="F101" t="s">
        <v>45</v>
      </c>
      <c r="G101" s="4">
        <v>19</v>
      </c>
      <c r="H101" t="s">
        <v>40</v>
      </c>
      <c r="I101" s="4">
        <v>1482</v>
      </c>
      <c r="J101" t="s">
        <v>41</v>
      </c>
      <c r="K101" t="s">
        <v>34</v>
      </c>
      <c r="L101" t="s">
        <v>28</v>
      </c>
      <c r="M101" t="s">
        <v>22</v>
      </c>
      <c r="N101">
        <v>5</v>
      </c>
    </row>
    <row r="102" spans="1:14" x14ac:dyDescent="0.25">
      <c r="A102">
        <v>101</v>
      </c>
      <c r="B102">
        <v>19</v>
      </c>
      <c r="C102" t="s">
        <v>23</v>
      </c>
      <c r="D102" t="s">
        <v>15</v>
      </c>
      <c r="E102" t="s">
        <v>39</v>
      </c>
      <c r="F102" t="s">
        <v>17</v>
      </c>
      <c r="G102" s="4">
        <v>20</v>
      </c>
      <c r="H102" t="s">
        <v>43</v>
      </c>
      <c r="I102" s="4">
        <v>1645</v>
      </c>
      <c r="J102" t="s">
        <v>19</v>
      </c>
      <c r="K102" t="s">
        <v>48</v>
      </c>
      <c r="L102" t="s">
        <v>28</v>
      </c>
      <c r="M102" t="s">
        <v>22</v>
      </c>
      <c r="N102">
        <v>4</v>
      </c>
    </row>
    <row r="103" spans="1:14" x14ac:dyDescent="0.25">
      <c r="A103">
        <v>102</v>
      </c>
      <c r="B103">
        <v>20</v>
      </c>
      <c r="C103" t="s">
        <v>23</v>
      </c>
      <c r="D103" t="s">
        <v>36</v>
      </c>
      <c r="E103" t="s">
        <v>24</v>
      </c>
      <c r="F103" t="s">
        <v>17</v>
      </c>
      <c r="G103" s="4">
        <v>9</v>
      </c>
      <c r="H103" t="s">
        <v>34</v>
      </c>
      <c r="I103" s="4">
        <v>1126</v>
      </c>
      <c r="J103" t="s">
        <v>45</v>
      </c>
      <c r="K103" t="s">
        <v>34</v>
      </c>
      <c r="L103" t="s">
        <v>28</v>
      </c>
      <c r="M103" t="s">
        <v>31</v>
      </c>
      <c r="N103">
        <v>5</v>
      </c>
    </row>
    <row r="104" spans="1:14" x14ac:dyDescent="0.25">
      <c r="A104">
        <v>103</v>
      </c>
      <c r="B104">
        <v>21</v>
      </c>
      <c r="C104" t="s">
        <v>23</v>
      </c>
      <c r="D104" t="s">
        <v>36</v>
      </c>
      <c r="E104" t="s">
        <v>24</v>
      </c>
      <c r="F104" t="s">
        <v>17</v>
      </c>
      <c r="G104" s="4">
        <v>30</v>
      </c>
      <c r="H104" t="s">
        <v>40</v>
      </c>
      <c r="I104" s="4">
        <v>2874</v>
      </c>
      <c r="J104" t="s">
        <v>45</v>
      </c>
      <c r="K104" t="s">
        <v>20</v>
      </c>
      <c r="L104" t="s">
        <v>21</v>
      </c>
      <c r="M104" t="s">
        <v>31</v>
      </c>
      <c r="N104">
        <v>1</v>
      </c>
    </row>
    <row r="105" spans="1:14" x14ac:dyDescent="0.25">
      <c r="A105">
        <v>104</v>
      </c>
      <c r="B105">
        <v>28</v>
      </c>
      <c r="C105" t="s">
        <v>23</v>
      </c>
      <c r="D105" t="s">
        <v>15</v>
      </c>
      <c r="E105" t="s">
        <v>39</v>
      </c>
      <c r="F105" t="s">
        <v>42</v>
      </c>
      <c r="G105" s="4">
        <v>19</v>
      </c>
      <c r="H105" t="s">
        <v>34</v>
      </c>
      <c r="I105" s="4">
        <v>1633</v>
      </c>
      <c r="J105" t="s">
        <v>35</v>
      </c>
      <c r="K105" t="s">
        <v>34</v>
      </c>
      <c r="L105" t="s">
        <v>21</v>
      </c>
      <c r="M105" t="s">
        <v>31</v>
      </c>
      <c r="N105">
        <v>4</v>
      </c>
    </row>
    <row r="106" spans="1:14" x14ac:dyDescent="0.25">
      <c r="A106">
        <v>105</v>
      </c>
      <c r="B106">
        <v>20</v>
      </c>
      <c r="C106" t="s">
        <v>29</v>
      </c>
      <c r="D106" t="s">
        <v>15</v>
      </c>
      <c r="E106" t="s">
        <v>24</v>
      </c>
      <c r="F106" t="s">
        <v>17</v>
      </c>
      <c r="G106" s="4">
        <v>7</v>
      </c>
      <c r="H106" t="s">
        <v>34</v>
      </c>
      <c r="I106" s="4">
        <v>349</v>
      </c>
      <c r="J106" t="s">
        <v>44</v>
      </c>
      <c r="K106" t="s">
        <v>48</v>
      </c>
      <c r="L106" t="s">
        <v>28</v>
      </c>
      <c r="M106" t="s">
        <v>22</v>
      </c>
      <c r="N106">
        <v>1</v>
      </c>
    </row>
    <row r="107" spans="1:14" x14ac:dyDescent="0.25">
      <c r="A107">
        <v>106</v>
      </c>
      <c r="B107">
        <v>31</v>
      </c>
      <c r="C107" t="s">
        <v>23</v>
      </c>
      <c r="D107" t="s">
        <v>15</v>
      </c>
      <c r="E107" t="s">
        <v>39</v>
      </c>
      <c r="F107" t="s">
        <v>45</v>
      </c>
      <c r="G107" s="4">
        <v>16</v>
      </c>
      <c r="H107" t="s">
        <v>46</v>
      </c>
      <c r="I107" s="4">
        <v>2725</v>
      </c>
      <c r="J107" t="s">
        <v>50</v>
      </c>
      <c r="K107" t="s">
        <v>48</v>
      </c>
      <c r="L107" t="s">
        <v>21</v>
      </c>
      <c r="M107" t="s">
        <v>22</v>
      </c>
      <c r="N107">
        <v>4</v>
      </c>
    </row>
    <row r="108" spans="1:14" x14ac:dyDescent="0.25">
      <c r="A108">
        <v>107</v>
      </c>
      <c r="B108">
        <v>39</v>
      </c>
      <c r="C108" t="s">
        <v>29</v>
      </c>
      <c r="D108" t="s">
        <v>36</v>
      </c>
      <c r="E108" t="s">
        <v>39</v>
      </c>
      <c r="F108" t="s">
        <v>33</v>
      </c>
      <c r="G108" s="4">
        <v>20</v>
      </c>
      <c r="H108" t="s">
        <v>46</v>
      </c>
      <c r="I108" s="4">
        <v>918</v>
      </c>
      <c r="J108" t="s">
        <v>27</v>
      </c>
      <c r="K108" t="s">
        <v>20</v>
      </c>
      <c r="L108" t="s">
        <v>21</v>
      </c>
      <c r="M108" t="s">
        <v>31</v>
      </c>
      <c r="N108">
        <v>1</v>
      </c>
    </row>
    <row r="109" spans="1:14" x14ac:dyDescent="0.25">
      <c r="A109">
        <v>108</v>
      </c>
      <c r="B109">
        <v>18</v>
      </c>
      <c r="C109" t="s">
        <v>29</v>
      </c>
      <c r="D109" t="s">
        <v>32</v>
      </c>
      <c r="E109" t="s">
        <v>16</v>
      </c>
      <c r="F109" t="s">
        <v>25</v>
      </c>
      <c r="G109" s="4">
        <v>10</v>
      </c>
      <c r="H109" t="s">
        <v>37</v>
      </c>
      <c r="I109" s="4">
        <v>1119</v>
      </c>
      <c r="J109" t="s">
        <v>45</v>
      </c>
      <c r="K109" t="s">
        <v>48</v>
      </c>
      <c r="L109" t="s">
        <v>21</v>
      </c>
      <c r="M109" t="s">
        <v>22</v>
      </c>
      <c r="N109">
        <v>3</v>
      </c>
    </row>
    <row r="110" spans="1:14" x14ac:dyDescent="0.25">
      <c r="A110">
        <v>109</v>
      </c>
      <c r="B110">
        <v>20</v>
      </c>
      <c r="C110" t="s">
        <v>29</v>
      </c>
      <c r="D110" t="s">
        <v>32</v>
      </c>
      <c r="E110" t="s">
        <v>39</v>
      </c>
      <c r="F110" t="s">
        <v>30</v>
      </c>
      <c r="G110" s="4">
        <v>28</v>
      </c>
      <c r="H110" t="s">
        <v>37</v>
      </c>
      <c r="I110" s="4">
        <v>2172</v>
      </c>
      <c r="J110" t="s">
        <v>50</v>
      </c>
      <c r="K110" t="s">
        <v>34</v>
      </c>
      <c r="L110" t="s">
        <v>28</v>
      </c>
      <c r="M110" t="s">
        <v>22</v>
      </c>
      <c r="N110">
        <v>2</v>
      </c>
    </row>
    <row r="111" spans="1:14" x14ac:dyDescent="0.25">
      <c r="A111">
        <v>110</v>
      </c>
      <c r="B111">
        <v>19</v>
      </c>
      <c r="C111" t="s">
        <v>14</v>
      </c>
      <c r="D111" t="s">
        <v>36</v>
      </c>
      <c r="E111" t="s">
        <v>16</v>
      </c>
      <c r="F111" t="s">
        <v>30</v>
      </c>
      <c r="G111" s="4">
        <v>9</v>
      </c>
      <c r="H111" t="s">
        <v>43</v>
      </c>
      <c r="I111" s="4">
        <v>644</v>
      </c>
      <c r="J111" t="s">
        <v>45</v>
      </c>
      <c r="K111" t="s">
        <v>20</v>
      </c>
      <c r="L111" t="s">
        <v>28</v>
      </c>
      <c r="M111" t="s">
        <v>31</v>
      </c>
      <c r="N111">
        <v>5</v>
      </c>
    </row>
    <row r="112" spans="1:14" x14ac:dyDescent="0.25">
      <c r="A112">
        <v>111</v>
      </c>
      <c r="B112">
        <v>26</v>
      </c>
      <c r="C112" t="s">
        <v>29</v>
      </c>
      <c r="D112" t="s">
        <v>32</v>
      </c>
      <c r="E112" t="s">
        <v>16</v>
      </c>
      <c r="F112" t="s">
        <v>30</v>
      </c>
      <c r="G112" s="4">
        <v>11</v>
      </c>
      <c r="H112" t="s">
        <v>43</v>
      </c>
      <c r="I112" s="4">
        <v>2098</v>
      </c>
      <c r="J112" t="s">
        <v>35</v>
      </c>
      <c r="K112" t="s">
        <v>48</v>
      </c>
      <c r="L112" t="s">
        <v>21</v>
      </c>
      <c r="M112" t="s">
        <v>31</v>
      </c>
      <c r="N112">
        <v>1</v>
      </c>
    </row>
    <row r="113" spans="1:14" x14ac:dyDescent="0.25">
      <c r="A113">
        <v>112</v>
      </c>
      <c r="B113">
        <v>37</v>
      </c>
      <c r="C113" t="s">
        <v>29</v>
      </c>
      <c r="D113" t="s">
        <v>15</v>
      </c>
      <c r="E113" t="s">
        <v>16</v>
      </c>
      <c r="F113" t="s">
        <v>30</v>
      </c>
      <c r="G113" s="4">
        <v>6</v>
      </c>
      <c r="H113" t="s">
        <v>46</v>
      </c>
      <c r="I113" s="4">
        <v>31</v>
      </c>
      <c r="J113" t="s">
        <v>50</v>
      </c>
      <c r="K113" t="s">
        <v>48</v>
      </c>
      <c r="L113" t="s">
        <v>21</v>
      </c>
      <c r="M113" t="s">
        <v>31</v>
      </c>
      <c r="N113">
        <v>2</v>
      </c>
    </row>
    <row r="114" spans="1:14" x14ac:dyDescent="0.25">
      <c r="A114">
        <v>113</v>
      </c>
      <c r="B114">
        <v>31</v>
      </c>
      <c r="C114" t="s">
        <v>23</v>
      </c>
      <c r="D114" t="s">
        <v>36</v>
      </c>
      <c r="E114" t="s">
        <v>16</v>
      </c>
      <c r="F114" t="s">
        <v>45</v>
      </c>
      <c r="G114" s="4">
        <v>10</v>
      </c>
      <c r="H114" t="s">
        <v>34</v>
      </c>
      <c r="I114" s="4">
        <v>529</v>
      </c>
      <c r="J114" t="s">
        <v>19</v>
      </c>
      <c r="K114" t="s">
        <v>20</v>
      </c>
      <c r="L114" t="s">
        <v>21</v>
      </c>
      <c r="M114" t="s">
        <v>31</v>
      </c>
      <c r="N114">
        <v>4</v>
      </c>
    </row>
    <row r="115" spans="1:14" x14ac:dyDescent="0.25">
      <c r="A115">
        <v>114</v>
      </c>
      <c r="B115">
        <v>18</v>
      </c>
      <c r="C115" t="s">
        <v>23</v>
      </c>
      <c r="D115" t="s">
        <v>32</v>
      </c>
      <c r="E115" t="s">
        <v>24</v>
      </c>
      <c r="F115" t="s">
        <v>42</v>
      </c>
      <c r="G115" s="4">
        <v>19</v>
      </c>
      <c r="H115" t="s">
        <v>26</v>
      </c>
      <c r="I115" s="4">
        <v>318</v>
      </c>
      <c r="J115" t="s">
        <v>35</v>
      </c>
      <c r="K115" t="s">
        <v>48</v>
      </c>
      <c r="L115" t="s">
        <v>28</v>
      </c>
      <c r="M115" t="s">
        <v>22</v>
      </c>
      <c r="N115">
        <v>3</v>
      </c>
    </row>
    <row r="116" spans="1:14" x14ac:dyDescent="0.25">
      <c r="A116">
        <v>115</v>
      </c>
      <c r="B116">
        <v>28</v>
      </c>
      <c r="C116" t="s">
        <v>23</v>
      </c>
      <c r="D116" t="s">
        <v>32</v>
      </c>
      <c r="E116" t="s">
        <v>16</v>
      </c>
      <c r="F116" t="s">
        <v>42</v>
      </c>
      <c r="G116" s="4">
        <v>10</v>
      </c>
      <c r="H116" t="s">
        <v>18</v>
      </c>
      <c r="I116" s="4">
        <v>2531</v>
      </c>
      <c r="J116" t="s">
        <v>27</v>
      </c>
      <c r="K116" t="s">
        <v>20</v>
      </c>
      <c r="L116" t="s">
        <v>28</v>
      </c>
      <c r="M116" t="s">
        <v>22</v>
      </c>
      <c r="N116">
        <v>4</v>
      </c>
    </row>
    <row r="117" spans="1:14" x14ac:dyDescent="0.25">
      <c r="A117">
        <v>116</v>
      </c>
      <c r="B117">
        <v>30</v>
      </c>
      <c r="C117" t="s">
        <v>29</v>
      </c>
      <c r="D117" t="s">
        <v>15</v>
      </c>
      <c r="E117" t="s">
        <v>16</v>
      </c>
      <c r="F117" t="s">
        <v>45</v>
      </c>
      <c r="G117" s="4">
        <v>14</v>
      </c>
      <c r="H117" t="s">
        <v>18</v>
      </c>
      <c r="I117" s="4">
        <v>1390</v>
      </c>
      <c r="J117" t="s">
        <v>27</v>
      </c>
      <c r="K117" t="s">
        <v>34</v>
      </c>
      <c r="L117" t="s">
        <v>28</v>
      </c>
      <c r="M117" t="s">
        <v>22</v>
      </c>
      <c r="N117">
        <v>2</v>
      </c>
    </row>
    <row r="118" spans="1:14" x14ac:dyDescent="0.25">
      <c r="A118">
        <v>117</v>
      </c>
      <c r="B118">
        <v>25</v>
      </c>
      <c r="C118" t="s">
        <v>14</v>
      </c>
      <c r="D118" t="s">
        <v>15</v>
      </c>
      <c r="E118" t="s">
        <v>24</v>
      </c>
      <c r="F118" t="s">
        <v>25</v>
      </c>
      <c r="G118" s="4">
        <v>8</v>
      </c>
      <c r="H118" t="s">
        <v>18</v>
      </c>
      <c r="I118" s="4">
        <v>599</v>
      </c>
      <c r="J118" t="s">
        <v>44</v>
      </c>
      <c r="K118" t="s">
        <v>20</v>
      </c>
      <c r="L118" t="s">
        <v>28</v>
      </c>
      <c r="M118" t="s">
        <v>31</v>
      </c>
      <c r="N118">
        <v>3</v>
      </c>
    </row>
    <row r="119" spans="1:14" x14ac:dyDescent="0.25">
      <c r="A119">
        <v>118</v>
      </c>
      <c r="B119">
        <v>39</v>
      </c>
      <c r="C119" t="s">
        <v>29</v>
      </c>
      <c r="D119" t="s">
        <v>36</v>
      </c>
      <c r="E119" t="s">
        <v>39</v>
      </c>
      <c r="F119" t="s">
        <v>25</v>
      </c>
      <c r="G119" s="4">
        <v>23</v>
      </c>
      <c r="H119" t="s">
        <v>43</v>
      </c>
      <c r="I119" s="4">
        <v>2633</v>
      </c>
      <c r="J119" t="s">
        <v>19</v>
      </c>
      <c r="K119" t="s">
        <v>20</v>
      </c>
      <c r="L119" t="s">
        <v>28</v>
      </c>
      <c r="M119" t="s">
        <v>31</v>
      </c>
      <c r="N119">
        <v>5</v>
      </c>
    </row>
    <row r="120" spans="1:14" x14ac:dyDescent="0.25">
      <c r="A120">
        <v>119</v>
      </c>
      <c r="B120">
        <v>26</v>
      </c>
      <c r="C120" t="s">
        <v>23</v>
      </c>
      <c r="D120" t="s">
        <v>15</v>
      </c>
      <c r="E120" t="s">
        <v>39</v>
      </c>
      <c r="F120" t="s">
        <v>42</v>
      </c>
      <c r="G120" s="4">
        <v>23</v>
      </c>
      <c r="H120" t="s">
        <v>43</v>
      </c>
      <c r="I120" s="4">
        <v>230</v>
      </c>
      <c r="J120" t="s">
        <v>41</v>
      </c>
      <c r="K120" t="s">
        <v>48</v>
      </c>
      <c r="L120" t="s">
        <v>28</v>
      </c>
      <c r="M120" t="s">
        <v>31</v>
      </c>
      <c r="N120">
        <v>3</v>
      </c>
    </row>
    <row r="121" spans="1:14" x14ac:dyDescent="0.25">
      <c r="A121">
        <v>120</v>
      </c>
      <c r="B121">
        <v>20</v>
      </c>
      <c r="C121" t="s">
        <v>23</v>
      </c>
      <c r="D121" t="s">
        <v>36</v>
      </c>
      <c r="E121" t="s">
        <v>39</v>
      </c>
      <c r="F121" t="s">
        <v>42</v>
      </c>
      <c r="G121" s="4">
        <v>25</v>
      </c>
      <c r="H121" t="s">
        <v>47</v>
      </c>
      <c r="I121" s="4">
        <v>369</v>
      </c>
      <c r="J121" t="s">
        <v>49</v>
      </c>
      <c r="K121" t="s">
        <v>38</v>
      </c>
      <c r="L121" t="s">
        <v>28</v>
      </c>
      <c r="M121" t="s">
        <v>31</v>
      </c>
      <c r="N121">
        <v>5</v>
      </c>
    </row>
    <row r="122" spans="1:14" x14ac:dyDescent="0.25">
      <c r="A122">
        <v>121</v>
      </c>
      <c r="B122">
        <v>34</v>
      </c>
      <c r="C122" t="s">
        <v>14</v>
      </c>
      <c r="D122" t="s">
        <v>32</v>
      </c>
      <c r="E122" t="s">
        <v>24</v>
      </c>
      <c r="F122" t="s">
        <v>33</v>
      </c>
      <c r="G122" s="4">
        <v>9</v>
      </c>
      <c r="H122" t="s">
        <v>37</v>
      </c>
      <c r="I122" s="4">
        <v>253</v>
      </c>
      <c r="J122" t="s">
        <v>41</v>
      </c>
      <c r="K122" t="s">
        <v>38</v>
      </c>
      <c r="L122" t="s">
        <v>28</v>
      </c>
      <c r="M122" t="s">
        <v>31</v>
      </c>
      <c r="N122">
        <v>4</v>
      </c>
    </row>
    <row r="123" spans="1:14" x14ac:dyDescent="0.25">
      <c r="A123">
        <v>122</v>
      </c>
      <c r="B123">
        <v>34</v>
      </c>
      <c r="C123" t="s">
        <v>29</v>
      </c>
      <c r="D123" t="s">
        <v>32</v>
      </c>
      <c r="E123" t="s">
        <v>39</v>
      </c>
      <c r="F123" t="s">
        <v>42</v>
      </c>
      <c r="G123" s="4">
        <v>21</v>
      </c>
      <c r="H123" t="s">
        <v>26</v>
      </c>
      <c r="I123" s="4">
        <v>2497</v>
      </c>
      <c r="J123" t="s">
        <v>50</v>
      </c>
      <c r="K123" t="s">
        <v>48</v>
      </c>
      <c r="L123" t="s">
        <v>28</v>
      </c>
      <c r="M123" t="s">
        <v>22</v>
      </c>
      <c r="N123">
        <v>2</v>
      </c>
    </row>
    <row r="124" spans="1:14" x14ac:dyDescent="0.25">
      <c r="A124">
        <v>123</v>
      </c>
      <c r="B124">
        <v>28</v>
      </c>
      <c r="C124" t="s">
        <v>29</v>
      </c>
      <c r="D124" t="s">
        <v>32</v>
      </c>
      <c r="E124" t="s">
        <v>24</v>
      </c>
      <c r="F124" t="s">
        <v>17</v>
      </c>
      <c r="G124" s="4">
        <v>8</v>
      </c>
      <c r="H124" t="s">
        <v>37</v>
      </c>
      <c r="I124" s="4">
        <v>2285</v>
      </c>
      <c r="J124" t="s">
        <v>50</v>
      </c>
      <c r="K124" t="s">
        <v>48</v>
      </c>
      <c r="L124" t="s">
        <v>21</v>
      </c>
      <c r="M124" t="s">
        <v>31</v>
      </c>
      <c r="N124">
        <v>4</v>
      </c>
    </row>
    <row r="125" spans="1:14" x14ac:dyDescent="0.25">
      <c r="A125">
        <v>124</v>
      </c>
      <c r="B125">
        <v>27</v>
      </c>
      <c r="C125" t="s">
        <v>14</v>
      </c>
      <c r="D125" t="s">
        <v>36</v>
      </c>
      <c r="E125" t="s">
        <v>24</v>
      </c>
      <c r="F125" t="s">
        <v>33</v>
      </c>
      <c r="G125" s="4">
        <v>25</v>
      </c>
      <c r="H125" t="s">
        <v>46</v>
      </c>
      <c r="I125" s="4">
        <v>2860</v>
      </c>
      <c r="J125" t="s">
        <v>45</v>
      </c>
      <c r="K125" t="s">
        <v>34</v>
      </c>
      <c r="L125" t="s">
        <v>21</v>
      </c>
      <c r="M125" t="s">
        <v>22</v>
      </c>
      <c r="N125">
        <v>4</v>
      </c>
    </row>
    <row r="126" spans="1:14" x14ac:dyDescent="0.25">
      <c r="A126">
        <v>125</v>
      </c>
      <c r="B126">
        <v>38</v>
      </c>
      <c r="C126" t="s">
        <v>29</v>
      </c>
      <c r="D126" t="s">
        <v>15</v>
      </c>
      <c r="E126" t="s">
        <v>39</v>
      </c>
      <c r="F126" t="s">
        <v>30</v>
      </c>
      <c r="G126" s="4">
        <v>26</v>
      </c>
      <c r="H126" t="s">
        <v>37</v>
      </c>
      <c r="I126" s="4">
        <v>1734</v>
      </c>
      <c r="J126" t="s">
        <v>27</v>
      </c>
      <c r="K126" t="s">
        <v>34</v>
      </c>
      <c r="L126" t="s">
        <v>28</v>
      </c>
      <c r="M126" t="s">
        <v>22</v>
      </c>
      <c r="N126">
        <v>5</v>
      </c>
    </row>
    <row r="127" spans="1:14" x14ac:dyDescent="0.25">
      <c r="A127">
        <v>126</v>
      </c>
      <c r="B127">
        <v>25</v>
      </c>
      <c r="C127" t="s">
        <v>29</v>
      </c>
      <c r="D127" t="s">
        <v>15</v>
      </c>
      <c r="E127" t="s">
        <v>24</v>
      </c>
      <c r="F127" t="s">
        <v>45</v>
      </c>
      <c r="G127" s="4">
        <v>9</v>
      </c>
      <c r="H127" t="s">
        <v>47</v>
      </c>
      <c r="I127" s="4">
        <v>634</v>
      </c>
      <c r="J127" t="s">
        <v>50</v>
      </c>
      <c r="K127" t="s">
        <v>38</v>
      </c>
      <c r="L127" t="s">
        <v>28</v>
      </c>
      <c r="M127" t="s">
        <v>22</v>
      </c>
      <c r="N127">
        <v>1</v>
      </c>
    </row>
    <row r="128" spans="1:14" x14ac:dyDescent="0.25">
      <c r="A128">
        <v>127</v>
      </c>
      <c r="B128">
        <v>23</v>
      </c>
      <c r="C128" t="s">
        <v>14</v>
      </c>
      <c r="D128" t="s">
        <v>36</v>
      </c>
      <c r="E128" t="s">
        <v>39</v>
      </c>
      <c r="F128" t="s">
        <v>33</v>
      </c>
      <c r="G128" s="4">
        <v>10</v>
      </c>
      <c r="H128" t="s">
        <v>26</v>
      </c>
      <c r="I128" s="4">
        <v>2837</v>
      </c>
      <c r="J128" t="s">
        <v>50</v>
      </c>
      <c r="K128" t="s">
        <v>38</v>
      </c>
      <c r="L128" t="s">
        <v>28</v>
      </c>
      <c r="M128" t="s">
        <v>31</v>
      </c>
      <c r="N128">
        <v>5</v>
      </c>
    </row>
    <row r="129" spans="1:14" x14ac:dyDescent="0.25">
      <c r="A129">
        <v>128</v>
      </c>
      <c r="B129">
        <v>32</v>
      </c>
      <c r="C129" t="s">
        <v>29</v>
      </c>
      <c r="D129" t="s">
        <v>32</v>
      </c>
      <c r="E129" t="s">
        <v>16</v>
      </c>
      <c r="F129" t="s">
        <v>30</v>
      </c>
      <c r="G129" s="4">
        <v>12</v>
      </c>
      <c r="H129" t="s">
        <v>43</v>
      </c>
      <c r="I129" s="4">
        <v>2187</v>
      </c>
      <c r="J129" t="s">
        <v>49</v>
      </c>
      <c r="K129" t="s">
        <v>34</v>
      </c>
      <c r="L129" t="s">
        <v>28</v>
      </c>
      <c r="M129" t="s">
        <v>31</v>
      </c>
      <c r="N129">
        <v>2</v>
      </c>
    </row>
    <row r="130" spans="1:14" x14ac:dyDescent="0.25">
      <c r="A130">
        <v>129</v>
      </c>
      <c r="B130">
        <v>23</v>
      </c>
      <c r="C130" t="s">
        <v>29</v>
      </c>
      <c r="D130" t="s">
        <v>15</v>
      </c>
      <c r="E130" t="s">
        <v>24</v>
      </c>
      <c r="F130" t="s">
        <v>42</v>
      </c>
      <c r="G130" s="4">
        <v>11</v>
      </c>
      <c r="H130" t="s">
        <v>34</v>
      </c>
      <c r="I130" s="4">
        <v>2476</v>
      </c>
      <c r="J130" t="s">
        <v>19</v>
      </c>
      <c r="K130" t="s">
        <v>48</v>
      </c>
      <c r="L130" t="s">
        <v>28</v>
      </c>
      <c r="M130" t="s">
        <v>22</v>
      </c>
      <c r="N130">
        <v>2</v>
      </c>
    </row>
    <row r="131" spans="1:14" x14ac:dyDescent="0.25">
      <c r="A131">
        <v>130</v>
      </c>
      <c r="B131">
        <v>23</v>
      </c>
      <c r="C131" t="s">
        <v>14</v>
      </c>
      <c r="D131" t="s">
        <v>32</v>
      </c>
      <c r="E131" t="s">
        <v>16</v>
      </c>
      <c r="F131" t="s">
        <v>25</v>
      </c>
      <c r="G131" s="4">
        <v>13</v>
      </c>
      <c r="H131" t="s">
        <v>43</v>
      </c>
      <c r="I131" s="4">
        <v>1840</v>
      </c>
      <c r="J131" t="s">
        <v>50</v>
      </c>
      <c r="K131" t="s">
        <v>48</v>
      </c>
      <c r="L131" t="s">
        <v>28</v>
      </c>
      <c r="M131" t="s">
        <v>22</v>
      </c>
      <c r="N131">
        <v>5</v>
      </c>
    </row>
    <row r="132" spans="1:14" x14ac:dyDescent="0.25">
      <c r="A132">
        <v>131</v>
      </c>
      <c r="B132">
        <v>30</v>
      </c>
      <c r="C132" t="s">
        <v>29</v>
      </c>
      <c r="D132" t="s">
        <v>15</v>
      </c>
      <c r="E132" t="s">
        <v>39</v>
      </c>
      <c r="F132" t="s">
        <v>25</v>
      </c>
      <c r="G132" s="4">
        <v>21</v>
      </c>
      <c r="H132" t="s">
        <v>47</v>
      </c>
      <c r="I132" s="4">
        <v>1531</v>
      </c>
      <c r="J132" t="s">
        <v>50</v>
      </c>
      <c r="K132" t="s">
        <v>48</v>
      </c>
      <c r="L132" t="s">
        <v>28</v>
      </c>
      <c r="M132" t="s">
        <v>22</v>
      </c>
      <c r="N132">
        <v>2</v>
      </c>
    </row>
    <row r="133" spans="1:14" x14ac:dyDescent="0.25">
      <c r="A133">
        <v>132</v>
      </c>
      <c r="B133">
        <v>22</v>
      </c>
      <c r="C133" t="s">
        <v>23</v>
      </c>
      <c r="D133" t="s">
        <v>15</v>
      </c>
      <c r="E133" t="s">
        <v>24</v>
      </c>
      <c r="F133" t="s">
        <v>42</v>
      </c>
      <c r="G133" s="4">
        <v>6</v>
      </c>
      <c r="H133" t="s">
        <v>43</v>
      </c>
      <c r="I133" s="4">
        <v>1175</v>
      </c>
      <c r="J133" t="s">
        <v>41</v>
      </c>
      <c r="K133" t="s">
        <v>48</v>
      </c>
      <c r="L133" t="s">
        <v>21</v>
      </c>
      <c r="M133" t="s">
        <v>31</v>
      </c>
      <c r="N133">
        <v>4</v>
      </c>
    </row>
    <row r="134" spans="1:14" x14ac:dyDescent="0.25">
      <c r="A134">
        <v>133</v>
      </c>
      <c r="B134">
        <v>24</v>
      </c>
      <c r="C134" t="s">
        <v>23</v>
      </c>
      <c r="D134" t="s">
        <v>32</v>
      </c>
      <c r="E134" t="s">
        <v>16</v>
      </c>
      <c r="F134" t="s">
        <v>30</v>
      </c>
      <c r="G134" s="4">
        <v>9</v>
      </c>
      <c r="H134" t="s">
        <v>40</v>
      </c>
      <c r="I134" s="4">
        <v>2247</v>
      </c>
      <c r="J134" t="s">
        <v>35</v>
      </c>
      <c r="K134" t="s">
        <v>48</v>
      </c>
      <c r="L134" t="s">
        <v>21</v>
      </c>
      <c r="M134" t="s">
        <v>22</v>
      </c>
      <c r="N134">
        <v>5</v>
      </c>
    </row>
    <row r="135" spans="1:14" x14ac:dyDescent="0.25">
      <c r="A135">
        <v>134</v>
      </c>
      <c r="B135">
        <v>31</v>
      </c>
      <c r="C135" t="s">
        <v>14</v>
      </c>
      <c r="D135" t="s">
        <v>15</v>
      </c>
      <c r="E135" t="s">
        <v>39</v>
      </c>
      <c r="F135" t="s">
        <v>45</v>
      </c>
      <c r="G135" s="4">
        <v>25</v>
      </c>
      <c r="H135" t="s">
        <v>47</v>
      </c>
      <c r="I135" s="4">
        <v>2551</v>
      </c>
      <c r="J135" t="s">
        <v>27</v>
      </c>
      <c r="K135" t="s">
        <v>38</v>
      </c>
      <c r="L135" t="s">
        <v>28</v>
      </c>
      <c r="M135" t="s">
        <v>31</v>
      </c>
      <c r="N135">
        <v>4</v>
      </c>
    </row>
    <row r="136" spans="1:14" x14ac:dyDescent="0.25">
      <c r="A136">
        <v>135</v>
      </c>
      <c r="B136">
        <v>18</v>
      </c>
      <c r="C136" t="s">
        <v>23</v>
      </c>
      <c r="D136" t="s">
        <v>32</v>
      </c>
      <c r="E136" t="s">
        <v>16</v>
      </c>
      <c r="F136" t="s">
        <v>17</v>
      </c>
      <c r="G136" s="4">
        <v>24</v>
      </c>
      <c r="H136" t="s">
        <v>18</v>
      </c>
      <c r="I136" s="4">
        <v>1445</v>
      </c>
      <c r="J136" t="s">
        <v>50</v>
      </c>
      <c r="K136" t="s">
        <v>48</v>
      </c>
      <c r="L136" t="s">
        <v>21</v>
      </c>
      <c r="M136" t="s">
        <v>31</v>
      </c>
      <c r="N136">
        <v>2</v>
      </c>
    </row>
    <row r="137" spans="1:14" x14ac:dyDescent="0.25">
      <c r="A137">
        <v>136</v>
      </c>
      <c r="B137">
        <v>33</v>
      </c>
      <c r="C137" t="s">
        <v>29</v>
      </c>
      <c r="D137" t="s">
        <v>32</v>
      </c>
      <c r="E137" t="s">
        <v>24</v>
      </c>
      <c r="F137" t="s">
        <v>33</v>
      </c>
      <c r="G137" s="4">
        <v>6</v>
      </c>
      <c r="H137" t="s">
        <v>34</v>
      </c>
      <c r="I137" s="4">
        <v>2603</v>
      </c>
      <c r="J137" t="s">
        <v>19</v>
      </c>
      <c r="K137" t="s">
        <v>34</v>
      </c>
      <c r="L137" t="s">
        <v>21</v>
      </c>
      <c r="M137" t="s">
        <v>22</v>
      </c>
      <c r="N137">
        <v>4</v>
      </c>
    </row>
    <row r="138" spans="1:14" x14ac:dyDescent="0.25">
      <c r="A138">
        <v>137</v>
      </c>
      <c r="B138">
        <v>36</v>
      </c>
      <c r="C138" t="s">
        <v>14</v>
      </c>
      <c r="D138" t="s">
        <v>32</v>
      </c>
      <c r="E138" t="s">
        <v>24</v>
      </c>
      <c r="F138" t="s">
        <v>30</v>
      </c>
      <c r="G138" s="4">
        <v>28</v>
      </c>
      <c r="H138" t="s">
        <v>37</v>
      </c>
      <c r="I138" s="4">
        <v>1361</v>
      </c>
      <c r="J138" t="s">
        <v>49</v>
      </c>
      <c r="K138" t="s">
        <v>20</v>
      </c>
      <c r="L138" t="s">
        <v>21</v>
      </c>
      <c r="M138" t="s">
        <v>22</v>
      </c>
      <c r="N138">
        <v>2</v>
      </c>
    </row>
    <row r="139" spans="1:14" x14ac:dyDescent="0.25">
      <c r="A139">
        <v>138</v>
      </c>
      <c r="B139">
        <v>20</v>
      </c>
      <c r="C139" t="s">
        <v>29</v>
      </c>
      <c r="D139" t="s">
        <v>15</v>
      </c>
      <c r="E139" t="s">
        <v>16</v>
      </c>
      <c r="F139" t="s">
        <v>25</v>
      </c>
      <c r="G139" s="4">
        <v>27</v>
      </c>
      <c r="H139" t="s">
        <v>47</v>
      </c>
      <c r="I139" s="4">
        <v>1874</v>
      </c>
      <c r="J139" t="s">
        <v>50</v>
      </c>
      <c r="K139" t="s">
        <v>34</v>
      </c>
      <c r="L139" t="s">
        <v>28</v>
      </c>
      <c r="M139" t="s">
        <v>31</v>
      </c>
      <c r="N139">
        <v>1</v>
      </c>
    </row>
    <row r="140" spans="1:14" x14ac:dyDescent="0.25">
      <c r="A140">
        <v>139</v>
      </c>
      <c r="B140">
        <v>26</v>
      </c>
      <c r="C140" t="s">
        <v>29</v>
      </c>
      <c r="D140" t="s">
        <v>32</v>
      </c>
      <c r="E140" t="s">
        <v>16</v>
      </c>
      <c r="F140" t="s">
        <v>17</v>
      </c>
      <c r="G140" s="4">
        <v>6</v>
      </c>
      <c r="H140" t="s">
        <v>34</v>
      </c>
      <c r="I140" s="4">
        <v>2649</v>
      </c>
      <c r="J140" t="s">
        <v>35</v>
      </c>
      <c r="K140" t="s">
        <v>48</v>
      </c>
      <c r="L140" t="s">
        <v>28</v>
      </c>
      <c r="M140" t="s">
        <v>31</v>
      </c>
      <c r="N140">
        <v>2</v>
      </c>
    </row>
    <row r="141" spans="1:14" x14ac:dyDescent="0.25">
      <c r="A141">
        <v>140</v>
      </c>
      <c r="B141">
        <v>30</v>
      </c>
      <c r="C141" t="s">
        <v>29</v>
      </c>
      <c r="D141" t="s">
        <v>15</v>
      </c>
      <c r="E141" t="s">
        <v>39</v>
      </c>
      <c r="F141" t="s">
        <v>17</v>
      </c>
      <c r="G141" s="4">
        <v>28</v>
      </c>
      <c r="H141" t="s">
        <v>43</v>
      </c>
      <c r="I141" s="4">
        <v>1801</v>
      </c>
      <c r="J141" t="s">
        <v>50</v>
      </c>
      <c r="K141" t="s">
        <v>34</v>
      </c>
      <c r="L141" t="s">
        <v>21</v>
      </c>
      <c r="M141" t="s">
        <v>31</v>
      </c>
      <c r="N141">
        <v>4</v>
      </c>
    </row>
    <row r="142" spans="1:14" x14ac:dyDescent="0.25">
      <c r="A142">
        <v>141</v>
      </c>
      <c r="B142">
        <v>20</v>
      </c>
      <c r="C142" t="s">
        <v>23</v>
      </c>
      <c r="D142" t="s">
        <v>32</v>
      </c>
      <c r="E142" t="s">
        <v>39</v>
      </c>
      <c r="F142" t="s">
        <v>33</v>
      </c>
      <c r="G142" s="4">
        <v>18</v>
      </c>
      <c r="H142" t="s">
        <v>18</v>
      </c>
      <c r="I142" s="4">
        <v>2467</v>
      </c>
      <c r="J142" t="s">
        <v>50</v>
      </c>
      <c r="K142" t="s">
        <v>34</v>
      </c>
      <c r="L142" t="s">
        <v>28</v>
      </c>
      <c r="M142" t="s">
        <v>31</v>
      </c>
      <c r="N142">
        <v>2</v>
      </c>
    </row>
    <row r="143" spans="1:14" x14ac:dyDescent="0.25">
      <c r="A143">
        <v>142</v>
      </c>
      <c r="B143">
        <v>37</v>
      </c>
      <c r="C143" t="s">
        <v>23</v>
      </c>
      <c r="D143" t="s">
        <v>32</v>
      </c>
      <c r="E143" t="s">
        <v>39</v>
      </c>
      <c r="F143" t="s">
        <v>42</v>
      </c>
      <c r="G143" s="4">
        <v>27</v>
      </c>
      <c r="H143" t="s">
        <v>47</v>
      </c>
      <c r="I143" s="4">
        <v>1745</v>
      </c>
      <c r="J143" t="s">
        <v>50</v>
      </c>
      <c r="K143" t="s">
        <v>20</v>
      </c>
      <c r="L143" t="s">
        <v>28</v>
      </c>
      <c r="M143" t="s">
        <v>22</v>
      </c>
      <c r="N143">
        <v>2</v>
      </c>
    </row>
    <row r="144" spans="1:14" x14ac:dyDescent="0.25">
      <c r="A144">
        <v>143</v>
      </c>
      <c r="B144">
        <v>20</v>
      </c>
      <c r="C144" t="s">
        <v>29</v>
      </c>
      <c r="D144" t="s">
        <v>36</v>
      </c>
      <c r="E144" t="s">
        <v>24</v>
      </c>
      <c r="F144" t="s">
        <v>17</v>
      </c>
      <c r="G144" s="4">
        <v>26</v>
      </c>
      <c r="H144" t="s">
        <v>37</v>
      </c>
      <c r="I144" s="4">
        <v>2611</v>
      </c>
      <c r="J144" t="s">
        <v>41</v>
      </c>
      <c r="K144" t="s">
        <v>38</v>
      </c>
      <c r="L144" t="s">
        <v>28</v>
      </c>
      <c r="M144" t="s">
        <v>22</v>
      </c>
      <c r="N144">
        <v>4</v>
      </c>
    </row>
    <row r="145" spans="1:14" x14ac:dyDescent="0.25">
      <c r="A145">
        <v>144</v>
      </c>
      <c r="B145">
        <v>22</v>
      </c>
      <c r="C145" t="s">
        <v>29</v>
      </c>
      <c r="D145" t="s">
        <v>32</v>
      </c>
      <c r="E145" t="s">
        <v>24</v>
      </c>
      <c r="F145" t="s">
        <v>33</v>
      </c>
      <c r="G145" s="4">
        <v>7</v>
      </c>
      <c r="H145" t="s">
        <v>37</v>
      </c>
      <c r="I145" s="4">
        <v>966</v>
      </c>
      <c r="J145" t="s">
        <v>49</v>
      </c>
      <c r="K145" t="s">
        <v>34</v>
      </c>
      <c r="L145" t="s">
        <v>28</v>
      </c>
      <c r="M145" t="s">
        <v>31</v>
      </c>
      <c r="N145">
        <v>3</v>
      </c>
    </row>
    <row r="146" spans="1:14" x14ac:dyDescent="0.25">
      <c r="A146">
        <v>145</v>
      </c>
      <c r="B146">
        <v>20</v>
      </c>
      <c r="C146" t="s">
        <v>29</v>
      </c>
      <c r="D146" t="s">
        <v>32</v>
      </c>
      <c r="E146" t="s">
        <v>39</v>
      </c>
      <c r="F146" t="s">
        <v>17</v>
      </c>
      <c r="G146" s="4">
        <v>23</v>
      </c>
      <c r="H146" t="s">
        <v>46</v>
      </c>
      <c r="I146" s="4">
        <v>563</v>
      </c>
      <c r="J146" t="s">
        <v>27</v>
      </c>
      <c r="K146" t="s">
        <v>48</v>
      </c>
      <c r="L146" t="s">
        <v>21</v>
      </c>
      <c r="M146" t="s">
        <v>22</v>
      </c>
      <c r="N146">
        <v>5</v>
      </c>
    </row>
    <row r="147" spans="1:14" x14ac:dyDescent="0.25">
      <c r="A147">
        <v>146</v>
      </c>
      <c r="B147">
        <v>33</v>
      </c>
      <c r="C147" t="s">
        <v>14</v>
      </c>
      <c r="D147" t="s">
        <v>32</v>
      </c>
      <c r="E147" t="s">
        <v>39</v>
      </c>
      <c r="F147" t="s">
        <v>17</v>
      </c>
      <c r="G147" s="4">
        <v>21</v>
      </c>
      <c r="H147" t="s">
        <v>43</v>
      </c>
      <c r="I147" s="4">
        <v>1585</v>
      </c>
      <c r="J147" t="s">
        <v>27</v>
      </c>
      <c r="K147" t="s">
        <v>34</v>
      </c>
      <c r="L147" t="s">
        <v>28</v>
      </c>
      <c r="M147" t="s">
        <v>22</v>
      </c>
      <c r="N147">
        <v>5</v>
      </c>
    </row>
    <row r="148" spans="1:14" x14ac:dyDescent="0.25">
      <c r="A148">
        <v>147</v>
      </c>
      <c r="B148">
        <v>21</v>
      </c>
      <c r="C148" t="s">
        <v>14</v>
      </c>
      <c r="D148" t="s">
        <v>36</v>
      </c>
      <c r="E148" t="s">
        <v>39</v>
      </c>
      <c r="F148" t="s">
        <v>33</v>
      </c>
      <c r="G148" s="4">
        <v>9</v>
      </c>
      <c r="H148" t="s">
        <v>34</v>
      </c>
      <c r="I148" s="4">
        <v>303</v>
      </c>
      <c r="J148" t="s">
        <v>50</v>
      </c>
      <c r="K148" t="s">
        <v>48</v>
      </c>
      <c r="L148" t="s">
        <v>28</v>
      </c>
      <c r="M148" t="s">
        <v>31</v>
      </c>
      <c r="N148">
        <v>4</v>
      </c>
    </row>
    <row r="149" spans="1:14" x14ac:dyDescent="0.25">
      <c r="A149">
        <v>148</v>
      </c>
      <c r="B149">
        <v>23</v>
      </c>
      <c r="C149" t="s">
        <v>29</v>
      </c>
      <c r="D149" t="s">
        <v>36</v>
      </c>
      <c r="E149" t="s">
        <v>16</v>
      </c>
      <c r="F149" t="s">
        <v>33</v>
      </c>
      <c r="G149" s="4">
        <v>27</v>
      </c>
      <c r="H149" t="s">
        <v>40</v>
      </c>
      <c r="I149" s="4">
        <v>2906</v>
      </c>
      <c r="J149" t="s">
        <v>44</v>
      </c>
      <c r="K149" t="s">
        <v>38</v>
      </c>
      <c r="L149" t="s">
        <v>28</v>
      </c>
      <c r="M149" t="s">
        <v>22</v>
      </c>
      <c r="N149">
        <v>2</v>
      </c>
    </row>
    <row r="150" spans="1:14" x14ac:dyDescent="0.25">
      <c r="A150">
        <v>149</v>
      </c>
      <c r="B150">
        <v>29</v>
      </c>
      <c r="C150" t="s">
        <v>29</v>
      </c>
      <c r="D150" t="s">
        <v>36</v>
      </c>
      <c r="E150" t="s">
        <v>16</v>
      </c>
      <c r="F150" t="s">
        <v>45</v>
      </c>
      <c r="G150" s="4">
        <v>22</v>
      </c>
      <c r="H150" t="s">
        <v>18</v>
      </c>
      <c r="I150" s="4">
        <v>2344</v>
      </c>
      <c r="J150" t="s">
        <v>19</v>
      </c>
      <c r="K150" t="s">
        <v>34</v>
      </c>
      <c r="L150" t="s">
        <v>28</v>
      </c>
      <c r="M150" t="s">
        <v>31</v>
      </c>
      <c r="N150">
        <v>3</v>
      </c>
    </row>
    <row r="151" spans="1:14" x14ac:dyDescent="0.25">
      <c r="A151">
        <v>150</v>
      </c>
      <c r="B151">
        <v>34</v>
      </c>
      <c r="C151" t="s">
        <v>14</v>
      </c>
      <c r="D151" t="s">
        <v>15</v>
      </c>
      <c r="E151" t="s">
        <v>39</v>
      </c>
      <c r="F151" t="s">
        <v>17</v>
      </c>
      <c r="G151" s="4">
        <v>18</v>
      </c>
      <c r="H151" t="s">
        <v>18</v>
      </c>
      <c r="I151" s="4">
        <v>1677</v>
      </c>
      <c r="J151" t="s">
        <v>49</v>
      </c>
      <c r="K151" t="s">
        <v>20</v>
      </c>
      <c r="L151" t="s">
        <v>28</v>
      </c>
      <c r="M151" t="s">
        <v>22</v>
      </c>
      <c r="N151">
        <v>5</v>
      </c>
    </row>
    <row r="152" spans="1:14" x14ac:dyDescent="0.25">
      <c r="A152">
        <v>151</v>
      </c>
      <c r="B152">
        <v>35</v>
      </c>
      <c r="C152" t="s">
        <v>14</v>
      </c>
      <c r="D152" t="s">
        <v>32</v>
      </c>
      <c r="E152" t="s">
        <v>24</v>
      </c>
      <c r="F152" t="s">
        <v>33</v>
      </c>
      <c r="G152" s="4">
        <v>25</v>
      </c>
      <c r="H152" t="s">
        <v>18</v>
      </c>
      <c r="I152" s="4">
        <v>2407</v>
      </c>
      <c r="J152" t="s">
        <v>44</v>
      </c>
      <c r="K152" t="s">
        <v>34</v>
      </c>
      <c r="L152" t="s">
        <v>21</v>
      </c>
      <c r="M152" t="s">
        <v>22</v>
      </c>
      <c r="N152">
        <v>2</v>
      </c>
    </row>
    <row r="153" spans="1:14" x14ac:dyDescent="0.25">
      <c r="A153">
        <v>152</v>
      </c>
      <c r="B153">
        <v>28</v>
      </c>
      <c r="C153" t="s">
        <v>23</v>
      </c>
      <c r="D153" t="s">
        <v>32</v>
      </c>
      <c r="E153" t="s">
        <v>16</v>
      </c>
      <c r="F153" t="s">
        <v>30</v>
      </c>
      <c r="G153" s="4">
        <v>27</v>
      </c>
      <c r="H153" t="s">
        <v>40</v>
      </c>
      <c r="I153" s="4">
        <v>923</v>
      </c>
      <c r="J153" t="s">
        <v>35</v>
      </c>
      <c r="K153" t="s">
        <v>38</v>
      </c>
      <c r="L153" t="s">
        <v>28</v>
      </c>
      <c r="M153" t="s">
        <v>22</v>
      </c>
      <c r="N153">
        <v>3</v>
      </c>
    </row>
    <row r="154" spans="1:14" x14ac:dyDescent="0.25">
      <c r="A154">
        <v>153</v>
      </c>
      <c r="B154">
        <v>34</v>
      </c>
      <c r="C154" t="s">
        <v>23</v>
      </c>
      <c r="D154" t="s">
        <v>15</v>
      </c>
      <c r="E154" t="s">
        <v>16</v>
      </c>
      <c r="F154" t="s">
        <v>17</v>
      </c>
      <c r="G154" s="4">
        <v>25</v>
      </c>
      <c r="H154" t="s">
        <v>34</v>
      </c>
      <c r="I154" s="4">
        <v>690</v>
      </c>
      <c r="J154" t="s">
        <v>41</v>
      </c>
      <c r="K154" t="s">
        <v>48</v>
      </c>
      <c r="L154" t="s">
        <v>21</v>
      </c>
      <c r="M154" t="s">
        <v>22</v>
      </c>
      <c r="N154">
        <v>5</v>
      </c>
    </row>
    <row r="155" spans="1:14" x14ac:dyDescent="0.25">
      <c r="A155">
        <v>154</v>
      </c>
      <c r="B155">
        <v>38</v>
      </c>
      <c r="C155" t="s">
        <v>23</v>
      </c>
      <c r="D155" t="s">
        <v>15</v>
      </c>
      <c r="E155" t="s">
        <v>24</v>
      </c>
      <c r="F155" t="s">
        <v>42</v>
      </c>
      <c r="G155" s="4">
        <v>29</v>
      </c>
      <c r="H155" t="s">
        <v>47</v>
      </c>
      <c r="I155" s="4">
        <v>2362</v>
      </c>
      <c r="J155" t="s">
        <v>49</v>
      </c>
      <c r="K155" t="s">
        <v>34</v>
      </c>
      <c r="L155" t="s">
        <v>28</v>
      </c>
      <c r="M155" t="s">
        <v>31</v>
      </c>
      <c r="N155">
        <v>3</v>
      </c>
    </row>
    <row r="156" spans="1:14" x14ac:dyDescent="0.25">
      <c r="A156">
        <v>155</v>
      </c>
      <c r="B156">
        <v>25</v>
      </c>
      <c r="C156" t="s">
        <v>29</v>
      </c>
      <c r="D156" t="s">
        <v>32</v>
      </c>
      <c r="E156" t="s">
        <v>16</v>
      </c>
      <c r="F156" t="s">
        <v>17</v>
      </c>
      <c r="G156" s="4">
        <v>30</v>
      </c>
      <c r="H156" t="s">
        <v>47</v>
      </c>
      <c r="I156" s="4">
        <v>2805</v>
      </c>
      <c r="J156" t="s">
        <v>44</v>
      </c>
      <c r="K156" t="s">
        <v>20</v>
      </c>
      <c r="L156" t="s">
        <v>28</v>
      </c>
      <c r="M156" t="s">
        <v>31</v>
      </c>
      <c r="N156">
        <v>4</v>
      </c>
    </row>
    <row r="157" spans="1:14" x14ac:dyDescent="0.25">
      <c r="A157">
        <v>156</v>
      </c>
      <c r="B157">
        <v>32</v>
      </c>
      <c r="C157" t="s">
        <v>14</v>
      </c>
      <c r="D157" t="s">
        <v>32</v>
      </c>
      <c r="E157" t="s">
        <v>24</v>
      </c>
      <c r="F157" t="s">
        <v>30</v>
      </c>
      <c r="G157" s="4">
        <v>11</v>
      </c>
      <c r="H157" t="s">
        <v>34</v>
      </c>
      <c r="I157" s="4">
        <v>1393</v>
      </c>
      <c r="J157" t="s">
        <v>45</v>
      </c>
      <c r="K157" t="s">
        <v>38</v>
      </c>
      <c r="L157" t="s">
        <v>28</v>
      </c>
      <c r="M157" t="s">
        <v>22</v>
      </c>
      <c r="N157">
        <v>5</v>
      </c>
    </row>
    <row r="158" spans="1:14" x14ac:dyDescent="0.25">
      <c r="A158">
        <v>157</v>
      </c>
      <c r="B158">
        <v>28</v>
      </c>
      <c r="C158" t="s">
        <v>29</v>
      </c>
      <c r="D158" t="s">
        <v>32</v>
      </c>
      <c r="E158" t="s">
        <v>16</v>
      </c>
      <c r="F158" t="s">
        <v>25</v>
      </c>
      <c r="G158" s="4">
        <v>12</v>
      </c>
      <c r="H158" t="s">
        <v>18</v>
      </c>
      <c r="I158" s="4">
        <v>1910</v>
      </c>
      <c r="J158" t="s">
        <v>41</v>
      </c>
      <c r="K158" t="s">
        <v>34</v>
      </c>
      <c r="L158" t="s">
        <v>28</v>
      </c>
      <c r="M158" t="s">
        <v>31</v>
      </c>
      <c r="N158">
        <v>1</v>
      </c>
    </row>
    <row r="159" spans="1:14" x14ac:dyDescent="0.25">
      <c r="A159">
        <v>158</v>
      </c>
      <c r="B159">
        <v>25</v>
      </c>
      <c r="C159" t="s">
        <v>23</v>
      </c>
      <c r="D159" t="s">
        <v>32</v>
      </c>
      <c r="E159" t="s">
        <v>16</v>
      </c>
      <c r="F159" t="s">
        <v>25</v>
      </c>
      <c r="G159" s="4">
        <v>10</v>
      </c>
      <c r="H159" t="s">
        <v>43</v>
      </c>
      <c r="I159" s="4">
        <v>1341</v>
      </c>
      <c r="J159" t="s">
        <v>49</v>
      </c>
      <c r="K159" t="s">
        <v>20</v>
      </c>
      <c r="L159" t="s">
        <v>28</v>
      </c>
      <c r="M159" t="s">
        <v>31</v>
      </c>
      <c r="N159">
        <v>5</v>
      </c>
    </row>
    <row r="160" spans="1:14" x14ac:dyDescent="0.25">
      <c r="A160">
        <v>159</v>
      </c>
      <c r="B160">
        <v>18</v>
      </c>
      <c r="C160" t="s">
        <v>29</v>
      </c>
      <c r="D160" t="s">
        <v>15</v>
      </c>
      <c r="E160" t="s">
        <v>16</v>
      </c>
      <c r="F160" t="s">
        <v>45</v>
      </c>
      <c r="G160" s="4">
        <v>7</v>
      </c>
      <c r="H160" t="s">
        <v>34</v>
      </c>
      <c r="I160" s="4">
        <v>1610</v>
      </c>
      <c r="J160" t="s">
        <v>41</v>
      </c>
      <c r="K160" t="s">
        <v>48</v>
      </c>
      <c r="L160" t="s">
        <v>28</v>
      </c>
      <c r="M160" t="s">
        <v>31</v>
      </c>
      <c r="N160">
        <v>5</v>
      </c>
    </row>
    <row r="161" spans="1:14" x14ac:dyDescent="0.25">
      <c r="A161">
        <v>160</v>
      </c>
      <c r="B161">
        <v>37</v>
      </c>
      <c r="C161" t="s">
        <v>29</v>
      </c>
      <c r="D161" t="s">
        <v>36</v>
      </c>
      <c r="E161" t="s">
        <v>16</v>
      </c>
      <c r="F161" t="s">
        <v>33</v>
      </c>
      <c r="G161" s="4">
        <v>25</v>
      </c>
      <c r="H161" t="s">
        <v>26</v>
      </c>
      <c r="I161" s="4">
        <v>2754</v>
      </c>
      <c r="J161" t="s">
        <v>44</v>
      </c>
      <c r="K161" t="s">
        <v>34</v>
      </c>
      <c r="L161" t="s">
        <v>28</v>
      </c>
      <c r="M161" t="s">
        <v>31</v>
      </c>
      <c r="N161">
        <v>4</v>
      </c>
    </row>
    <row r="162" spans="1:14" x14ac:dyDescent="0.25">
      <c r="A162">
        <v>161</v>
      </c>
      <c r="B162">
        <v>29</v>
      </c>
      <c r="C162" t="s">
        <v>23</v>
      </c>
      <c r="D162" t="s">
        <v>36</v>
      </c>
      <c r="E162" t="s">
        <v>16</v>
      </c>
      <c r="F162" t="s">
        <v>30</v>
      </c>
      <c r="G162" s="4">
        <v>6</v>
      </c>
      <c r="H162" t="s">
        <v>46</v>
      </c>
      <c r="I162" s="4">
        <v>1640</v>
      </c>
      <c r="J162" t="s">
        <v>19</v>
      </c>
      <c r="K162" t="s">
        <v>20</v>
      </c>
      <c r="L162" t="s">
        <v>28</v>
      </c>
      <c r="M162" t="s">
        <v>31</v>
      </c>
      <c r="N162">
        <v>1</v>
      </c>
    </row>
    <row r="163" spans="1:14" x14ac:dyDescent="0.25">
      <c r="A163">
        <v>162</v>
      </c>
      <c r="B163">
        <v>37</v>
      </c>
      <c r="C163" t="s">
        <v>14</v>
      </c>
      <c r="D163" t="s">
        <v>15</v>
      </c>
      <c r="E163" t="s">
        <v>39</v>
      </c>
      <c r="F163" t="s">
        <v>30</v>
      </c>
      <c r="G163" s="4">
        <v>26</v>
      </c>
      <c r="H163" t="s">
        <v>34</v>
      </c>
      <c r="I163" s="4">
        <v>2502</v>
      </c>
      <c r="J163" t="s">
        <v>50</v>
      </c>
      <c r="K163" t="s">
        <v>38</v>
      </c>
      <c r="L163" t="s">
        <v>21</v>
      </c>
      <c r="M163" t="s">
        <v>31</v>
      </c>
      <c r="N163">
        <v>1</v>
      </c>
    </row>
    <row r="164" spans="1:14" x14ac:dyDescent="0.25">
      <c r="A164">
        <v>163</v>
      </c>
      <c r="B164">
        <v>34</v>
      </c>
      <c r="C164" t="s">
        <v>14</v>
      </c>
      <c r="D164" t="s">
        <v>36</v>
      </c>
      <c r="E164" t="s">
        <v>39</v>
      </c>
      <c r="F164" t="s">
        <v>42</v>
      </c>
      <c r="G164" s="4">
        <v>6</v>
      </c>
      <c r="H164" t="s">
        <v>43</v>
      </c>
      <c r="I164" s="4">
        <v>185</v>
      </c>
      <c r="J164" t="s">
        <v>44</v>
      </c>
      <c r="K164" t="s">
        <v>38</v>
      </c>
      <c r="L164" t="s">
        <v>28</v>
      </c>
      <c r="M164" t="s">
        <v>31</v>
      </c>
      <c r="N164">
        <v>1</v>
      </c>
    </row>
    <row r="165" spans="1:14" x14ac:dyDescent="0.25">
      <c r="A165">
        <v>164</v>
      </c>
      <c r="B165">
        <v>23</v>
      </c>
      <c r="C165" t="s">
        <v>23</v>
      </c>
      <c r="D165" t="s">
        <v>32</v>
      </c>
      <c r="E165" t="s">
        <v>24</v>
      </c>
      <c r="F165" t="s">
        <v>45</v>
      </c>
      <c r="G165" s="4">
        <v>17</v>
      </c>
      <c r="H165" t="s">
        <v>43</v>
      </c>
      <c r="I165" s="4">
        <v>2525</v>
      </c>
      <c r="J165" t="s">
        <v>35</v>
      </c>
      <c r="K165" t="s">
        <v>20</v>
      </c>
      <c r="L165" t="s">
        <v>21</v>
      </c>
      <c r="M165" t="s">
        <v>31</v>
      </c>
      <c r="N165">
        <v>3</v>
      </c>
    </row>
    <row r="166" spans="1:14" x14ac:dyDescent="0.25">
      <c r="A166">
        <v>165</v>
      </c>
      <c r="B166">
        <v>28</v>
      </c>
      <c r="C166" t="s">
        <v>23</v>
      </c>
      <c r="D166" t="s">
        <v>32</v>
      </c>
      <c r="E166" t="s">
        <v>24</v>
      </c>
      <c r="F166" t="s">
        <v>17</v>
      </c>
      <c r="G166" s="4">
        <v>26</v>
      </c>
      <c r="H166" t="s">
        <v>47</v>
      </c>
      <c r="I166" s="4">
        <v>448</v>
      </c>
      <c r="J166" t="s">
        <v>49</v>
      </c>
      <c r="K166" t="s">
        <v>34</v>
      </c>
      <c r="L166" t="s">
        <v>21</v>
      </c>
      <c r="M166" t="s">
        <v>22</v>
      </c>
      <c r="N166">
        <v>4</v>
      </c>
    </row>
    <row r="167" spans="1:14" x14ac:dyDescent="0.25">
      <c r="A167">
        <v>166</v>
      </c>
      <c r="B167">
        <v>36</v>
      </c>
      <c r="C167" t="s">
        <v>23</v>
      </c>
      <c r="D167" t="s">
        <v>36</v>
      </c>
      <c r="E167" t="s">
        <v>24</v>
      </c>
      <c r="F167" t="s">
        <v>42</v>
      </c>
      <c r="G167" s="4">
        <v>20</v>
      </c>
      <c r="H167" t="s">
        <v>37</v>
      </c>
      <c r="I167" s="4">
        <v>698</v>
      </c>
      <c r="J167" t="s">
        <v>27</v>
      </c>
      <c r="K167" t="s">
        <v>48</v>
      </c>
      <c r="L167" t="s">
        <v>21</v>
      </c>
      <c r="M167" t="s">
        <v>22</v>
      </c>
      <c r="N167">
        <v>5</v>
      </c>
    </row>
    <row r="168" spans="1:14" x14ac:dyDescent="0.25">
      <c r="A168">
        <v>167</v>
      </c>
      <c r="B168">
        <v>18</v>
      </c>
      <c r="C168" t="s">
        <v>14</v>
      </c>
      <c r="D168" t="s">
        <v>32</v>
      </c>
      <c r="E168" t="s">
        <v>24</v>
      </c>
      <c r="F168" t="s">
        <v>25</v>
      </c>
      <c r="G168" s="4">
        <v>19</v>
      </c>
      <c r="H168" t="s">
        <v>26</v>
      </c>
      <c r="I168" s="4">
        <v>1284</v>
      </c>
      <c r="J168" t="s">
        <v>49</v>
      </c>
      <c r="K168" t="s">
        <v>48</v>
      </c>
      <c r="L168" t="s">
        <v>21</v>
      </c>
      <c r="M168" t="s">
        <v>22</v>
      </c>
      <c r="N168">
        <v>4</v>
      </c>
    </row>
    <row r="169" spans="1:14" x14ac:dyDescent="0.25">
      <c r="A169">
        <v>168</v>
      </c>
      <c r="B169">
        <v>35</v>
      </c>
      <c r="C169" t="s">
        <v>23</v>
      </c>
      <c r="D169" t="s">
        <v>32</v>
      </c>
      <c r="E169" t="s">
        <v>39</v>
      </c>
      <c r="F169" t="s">
        <v>25</v>
      </c>
      <c r="G169" s="4">
        <v>15</v>
      </c>
      <c r="H169" t="s">
        <v>43</v>
      </c>
      <c r="I169" s="4">
        <v>2712</v>
      </c>
      <c r="J169" t="s">
        <v>50</v>
      </c>
      <c r="K169" t="s">
        <v>34</v>
      </c>
      <c r="L169" t="s">
        <v>28</v>
      </c>
      <c r="M169" t="s">
        <v>31</v>
      </c>
      <c r="N169">
        <v>4</v>
      </c>
    </row>
    <row r="170" spans="1:14" x14ac:dyDescent="0.25">
      <c r="A170">
        <v>169</v>
      </c>
      <c r="B170">
        <v>24</v>
      </c>
      <c r="C170" t="s">
        <v>29</v>
      </c>
      <c r="D170" t="s">
        <v>15</v>
      </c>
      <c r="E170" t="s">
        <v>39</v>
      </c>
      <c r="F170" t="s">
        <v>30</v>
      </c>
      <c r="G170" s="4">
        <v>12</v>
      </c>
      <c r="H170" t="s">
        <v>40</v>
      </c>
      <c r="I170" s="4">
        <v>1142</v>
      </c>
      <c r="J170" t="s">
        <v>49</v>
      </c>
      <c r="K170" t="s">
        <v>34</v>
      </c>
      <c r="L170" t="s">
        <v>28</v>
      </c>
      <c r="M170" t="s">
        <v>31</v>
      </c>
      <c r="N170">
        <v>5</v>
      </c>
    </row>
    <row r="171" spans="1:14" x14ac:dyDescent="0.25">
      <c r="A171">
        <v>170</v>
      </c>
      <c r="B171">
        <v>35</v>
      </c>
      <c r="C171" t="s">
        <v>29</v>
      </c>
      <c r="D171" t="s">
        <v>15</v>
      </c>
      <c r="E171" t="s">
        <v>24</v>
      </c>
      <c r="F171" t="s">
        <v>17</v>
      </c>
      <c r="G171" s="4">
        <v>30</v>
      </c>
      <c r="H171" t="s">
        <v>26</v>
      </c>
      <c r="I171" s="4">
        <v>2955</v>
      </c>
      <c r="J171" t="s">
        <v>45</v>
      </c>
      <c r="K171" t="s">
        <v>34</v>
      </c>
      <c r="L171" t="s">
        <v>21</v>
      </c>
      <c r="M171" t="s">
        <v>31</v>
      </c>
      <c r="N171">
        <v>3</v>
      </c>
    </row>
    <row r="172" spans="1:14" x14ac:dyDescent="0.25">
      <c r="A172">
        <v>171</v>
      </c>
      <c r="B172">
        <v>19</v>
      </c>
      <c r="C172" t="s">
        <v>29</v>
      </c>
      <c r="D172" t="s">
        <v>32</v>
      </c>
      <c r="E172" t="s">
        <v>24</v>
      </c>
      <c r="F172" t="s">
        <v>30</v>
      </c>
      <c r="G172" s="4">
        <v>14</v>
      </c>
      <c r="H172" t="s">
        <v>43</v>
      </c>
      <c r="I172" s="4">
        <v>2925</v>
      </c>
      <c r="J172" t="s">
        <v>27</v>
      </c>
      <c r="K172" t="s">
        <v>38</v>
      </c>
      <c r="L172" t="s">
        <v>28</v>
      </c>
      <c r="M172" t="s">
        <v>31</v>
      </c>
      <c r="N172">
        <v>1</v>
      </c>
    </row>
    <row r="173" spans="1:14" x14ac:dyDescent="0.25">
      <c r="A173">
        <v>172</v>
      </c>
      <c r="B173">
        <v>22</v>
      </c>
      <c r="C173" t="s">
        <v>14</v>
      </c>
      <c r="D173" t="s">
        <v>15</v>
      </c>
      <c r="E173" t="s">
        <v>16</v>
      </c>
      <c r="F173" t="s">
        <v>17</v>
      </c>
      <c r="G173" s="4">
        <v>8</v>
      </c>
      <c r="H173" t="s">
        <v>40</v>
      </c>
      <c r="I173" s="4">
        <v>2521</v>
      </c>
      <c r="J173" t="s">
        <v>27</v>
      </c>
      <c r="K173" t="s">
        <v>48</v>
      </c>
      <c r="L173" t="s">
        <v>21</v>
      </c>
      <c r="M173" t="s">
        <v>31</v>
      </c>
      <c r="N173">
        <v>5</v>
      </c>
    </row>
    <row r="174" spans="1:14" x14ac:dyDescent="0.25">
      <c r="A174">
        <v>173</v>
      </c>
      <c r="B174">
        <v>28</v>
      </c>
      <c r="C174" t="s">
        <v>23</v>
      </c>
      <c r="D174" t="s">
        <v>15</v>
      </c>
      <c r="E174" t="s">
        <v>16</v>
      </c>
      <c r="F174" t="s">
        <v>45</v>
      </c>
      <c r="G174" s="4">
        <v>27</v>
      </c>
      <c r="H174" t="s">
        <v>37</v>
      </c>
      <c r="I174" s="4">
        <v>1934</v>
      </c>
      <c r="J174" t="s">
        <v>45</v>
      </c>
      <c r="K174" t="s">
        <v>20</v>
      </c>
      <c r="L174" t="s">
        <v>28</v>
      </c>
      <c r="M174" t="s">
        <v>22</v>
      </c>
      <c r="N174">
        <v>1</v>
      </c>
    </row>
    <row r="175" spans="1:14" x14ac:dyDescent="0.25">
      <c r="A175">
        <v>174</v>
      </c>
      <c r="B175">
        <v>27</v>
      </c>
      <c r="C175" t="s">
        <v>14</v>
      </c>
      <c r="D175" t="s">
        <v>36</v>
      </c>
      <c r="E175" t="s">
        <v>24</v>
      </c>
      <c r="F175" t="s">
        <v>25</v>
      </c>
      <c r="G175" s="4">
        <v>15</v>
      </c>
      <c r="H175" t="s">
        <v>47</v>
      </c>
      <c r="I175" s="4">
        <v>1169</v>
      </c>
      <c r="J175" t="s">
        <v>44</v>
      </c>
      <c r="K175" t="s">
        <v>20</v>
      </c>
      <c r="L175" t="s">
        <v>21</v>
      </c>
      <c r="M175" t="s">
        <v>22</v>
      </c>
      <c r="N175">
        <v>1</v>
      </c>
    </row>
    <row r="176" spans="1:14" x14ac:dyDescent="0.25">
      <c r="A176">
        <v>175</v>
      </c>
      <c r="B176">
        <v>30</v>
      </c>
      <c r="C176" t="s">
        <v>23</v>
      </c>
      <c r="D176" t="s">
        <v>32</v>
      </c>
      <c r="E176" t="s">
        <v>16</v>
      </c>
      <c r="F176" t="s">
        <v>33</v>
      </c>
      <c r="G176" s="4">
        <v>30</v>
      </c>
      <c r="H176" t="s">
        <v>46</v>
      </c>
      <c r="I176" s="4">
        <v>2029</v>
      </c>
      <c r="J176" t="s">
        <v>19</v>
      </c>
      <c r="K176" t="s">
        <v>34</v>
      </c>
      <c r="L176" t="s">
        <v>28</v>
      </c>
      <c r="M176" t="s">
        <v>31</v>
      </c>
      <c r="N176">
        <v>2</v>
      </c>
    </row>
    <row r="177" spans="1:14" x14ac:dyDescent="0.25">
      <c r="A177">
        <v>176</v>
      </c>
      <c r="B177">
        <v>38</v>
      </c>
      <c r="C177" t="s">
        <v>14</v>
      </c>
      <c r="D177" t="s">
        <v>36</v>
      </c>
      <c r="E177" t="s">
        <v>39</v>
      </c>
      <c r="F177" t="s">
        <v>30</v>
      </c>
      <c r="G177" s="4">
        <v>22</v>
      </c>
      <c r="H177" t="s">
        <v>40</v>
      </c>
      <c r="I177" s="4">
        <v>2147</v>
      </c>
      <c r="J177" t="s">
        <v>19</v>
      </c>
      <c r="K177" t="s">
        <v>34</v>
      </c>
      <c r="L177" t="s">
        <v>21</v>
      </c>
      <c r="M177" t="s">
        <v>31</v>
      </c>
      <c r="N177">
        <v>4</v>
      </c>
    </row>
    <row r="178" spans="1:14" x14ac:dyDescent="0.25">
      <c r="A178">
        <v>177</v>
      </c>
      <c r="B178">
        <v>38</v>
      </c>
      <c r="C178" t="s">
        <v>14</v>
      </c>
      <c r="D178" t="s">
        <v>36</v>
      </c>
      <c r="E178" t="s">
        <v>39</v>
      </c>
      <c r="F178" t="s">
        <v>30</v>
      </c>
      <c r="G178" s="4">
        <v>13</v>
      </c>
      <c r="H178" t="s">
        <v>40</v>
      </c>
      <c r="I178" s="4">
        <v>2943</v>
      </c>
      <c r="J178" t="s">
        <v>44</v>
      </c>
      <c r="K178" t="s">
        <v>20</v>
      </c>
      <c r="L178" t="s">
        <v>28</v>
      </c>
      <c r="M178" t="s">
        <v>31</v>
      </c>
      <c r="N178">
        <v>2</v>
      </c>
    </row>
    <row r="179" spans="1:14" x14ac:dyDescent="0.25">
      <c r="A179">
        <v>178</v>
      </c>
      <c r="B179">
        <v>20</v>
      </c>
      <c r="C179" t="s">
        <v>14</v>
      </c>
      <c r="D179" t="s">
        <v>15</v>
      </c>
      <c r="E179" t="s">
        <v>39</v>
      </c>
      <c r="F179" t="s">
        <v>30</v>
      </c>
      <c r="G179" s="4">
        <v>17</v>
      </c>
      <c r="H179" t="s">
        <v>40</v>
      </c>
      <c r="I179" s="4">
        <v>2741</v>
      </c>
      <c r="J179" t="s">
        <v>41</v>
      </c>
      <c r="K179" t="s">
        <v>34</v>
      </c>
      <c r="L179" t="s">
        <v>28</v>
      </c>
      <c r="M179" t="s">
        <v>22</v>
      </c>
      <c r="N179">
        <v>1</v>
      </c>
    </row>
    <row r="180" spans="1:14" x14ac:dyDescent="0.25">
      <c r="A180">
        <v>179</v>
      </c>
      <c r="B180">
        <v>32</v>
      </c>
      <c r="C180" t="s">
        <v>29</v>
      </c>
      <c r="D180" t="s">
        <v>36</v>
      </c>
      <c r="E180" t="s">
        <v>24</v>
      </c>
      <c r="F180" t="s">
        <v>45</v>
      </c>
      <c r="G180" s="4">
        <v>29</v>
      </c>
      <c r="H180" t="s">
        <v>47</v>
      </c>
      <c r="I180" s="4">
        <v>1093</v>
      </c>
      <c r="J180" t="s">
        <v>35</v>
      </c>
      <c r="K180" t="s">
        <v>34</v>
      </c>
      <c r="L180" t="s">
        <v>21</v>
      </c>
      <c r="M180" t="s">
        <v>22</v>
      </c>
      <c r="N180">
        <v>3</v>
      </c>
    </row>
    <row r="181" spans="1:14" x14ac:dyDescent="0.25">
      <c r="A181">
        <v>180</v>
      </c>
      <c r="B181">
        <v>39</v>
      </c>
      <c r="C181" t="s">
        <v>14</v>
      </c>
      <c r="D181" t="s">
        <v>32</v>
      </c>
      <c r="E181" t="s">
        <v>24</v>
      </c>
      <c r="F181" t="s">
        <v>45</v>
      </c>
      <c r="G181" s="4">
        <v>8</v>
      </c>
      <c r="H181" t="s">
        <v>46</v>
      </c>
      <c r="I181" s="4">
        <v>1906</v>
      </c>
      <c r="J181" t="s">
        <v>19</v>
      </c>
      <c r="K181" t="s">
        <v>34</v>
      </c>
      <c r="L181" t="s">
        <v>28</v>
      </c>
      <c r="M181" t="s">
        <v>22</v>
      </c>
      <c r="N181">
        <v>3</v>
      </c>
    </row>
    <row r="182" spans="1:14" x14ac:dyDescent="0.25">
      <c r="A182">
        <v>181</v>
      </c>
      <c r="B182">
        <v>25</v>
      </c>
      <c r="C182" t="s">
        <v>29</v>
      </c>
      <c r="D182" t="s">
        <v>36</v>
      </c>
      <c r="E182" t="s">
        <v>24</v>
      </c>
      <c r="F182" t="s">
        <v>30</v>
      </c>
      <c r="G182" s="4">
        <v>9</v>
      </c>
      <c r="H182" t="s">
        <v>26</v>
      </c>
      <c r="I182" s="4">
        <v>1958</v>
      </c>
      <c r="J182" t="s">
        <v>49</v>
      </c>
      <c r="K182" t="s">
        <v>38</v>
      </c>
      <c r="L182" t="s">
        <v>21</v>
      </c>
      <c r="M182" t="s">
        <v>22</v>
      </c>
      <c r="N182">
        <v>2</v>
      </c>
    </row>
    <row r="183" spans="1:14" x14ac:dyDescent="0.25">
      <c r="A183">
        <v>182</v>
      </c>
      <c r="B183">
        <v>34</v>
      </c>
      <c r="C183" t="s">
        <v>14</v>
      </c>
      <c r="D183" t="s">
        <v>36</v>
      </c>
      <c r="E183" t="s">
        <v>16</v>
      </c>
      <c r="F183" t="s">
        <v>33</v>
      </c>
      <c r="G183" s="4">
        <v>19</v>
      </c>
      <c r="H183" t="s">
        <v>40</v>
      </c>
      <c r="I183" s="4">
        <v>2163</v>
      </c>
      <c r="J183" t="s">
        <v>44</v>
      </c>
      <c r="K183" t="s">
        <v>38</v>
      </c>
      <c r="L183" t="s">
        <v>28</v>
      </c>
      <c r="M183" t="s">
        <v>31</v>
      </c>
      <c r="N183">
        <v>3</v>
      </c>
    </row>
    <row r="184" spans="1:14" x14ac:dyDescent="0.25">
      <c r="A184">
        <v>183</v>
      </c>
      <c r="B184">
        <v>21</v>
      </c>
      <c r="C184" t="s">
        <v>29</v>
      </c>
      <c r="D184" t="s">
        <v>15</v>
      </c>
      <c r="E184" t="s">
        <v>24</v>
      </c>
      <c r="F184" t="s">
        <v>42</v>
      </c>
      <c r="G184" s="4">
        <v>26</v>
      </c>
      <c r="H184" t="s">
        <v>47</v>
      </c>
      <c r="I184" s="4">
        <v>841</v>
      </c>
      <c r="J184" t="s">
        <v>49</v>
      </c>
      <c r="K184" t="s">
        <v>38</v>
      </c>
      <c r="L184" t="s">
        <v>28</v>
      </c>
      <c r="M184" t="s">
        <v>31</v>
      </c>
      <c r="N184">
        <v>5</v>
      </c>
    </row>
    <row r="185" spans="1:14" x14ac:dyDescent="0.25">
      <c r="A185">
        <v>184</v>
      </c>
      <c r="B185">
        <v>36</v>
      </c>
      <c r="C185" t="s">
        <v>23</v>
      </c>
      <c r="D185" t="s">
        <v>32</v>
      </c>
      <c r="E185" t="s">
        <v>24</v>
      </c>
      <c r="F185" t="s">
        <v>33</v>
      </c>
      <c r="G185" s="4">
        <v>6</v>
      </c>
      <c r="H185" t="s">
        <v>26</v>
      </c>
      <c r="I185" s="4">
        <v>2288</v>
      </c>
      <c r="J185" t="s">
        <v>35</v>
      </c>
      <c r="K185" t="s">
        <v>48</v>
      </c>
      <c r="L185" t="s">
        <v>21</v>
      </c>
      <c r="M185" t="s">
        <v>22</v>
      </c>
      <c r="N185">
        <v>4</v>
      </c>
    </row>
    <row r="186" spans="1:14" x14ac:dyDescent="0.25">
      <c r="A186">
        <v>185</v>
      </c>
      <c r="B186">
        <v>19</v>
      </c>
      <c r="C186" t="s">
        <v>23</v>
      </c>
      <c r="D186" t="s">
        <v>15</v>
      </c>
      <c r="E186" t="s">
        <v>16</v>
      </c>
      <c r="F186" t="s">
        <v>42</v>
      </c>
      <c r="G186" s="4">
        <v>18</v>
      </c>
      <c r="H186" t="s">
        <v>47</v>
      </c>
      <c r="I186" s="4">
        <v>1411</v>
      </c>
      <c r="J186" t="s">
        <v>35</v>
      </c>
      <c r="K186" t="s">
        <v>20</v>
      </c>
      <c r="L186" t="s">
        <v>21</v>
      </c>
      <c r="M186" t="s">
        <v>22</v>
      </c>
      <c r="N186">
        <v>1</v>
      </c>
    </row>
    <row r="187" spans="1:14" x14ac:dyDescent="0.25">
      <c r="A187">
        <v>186</v>
      </c>
      <c r="B187">
        <v>38</v>
      </c>
      <c r="C187" t="s">
        <v>29</v>
      </c>
      <c r="D187" t="s">
        <v>32</v>
      </c>
      <c r="E187" t="s">
        <v>39</v>
      </c>
      <c r="F187" t="s">
        <v>42</v>
      </c>
      <c r="G187" s="4">
        <v>28</v>
      </c>
      <c r="H187" t="s">
        <v>26</v>
      </c>
      <c r="I187" s="4">
        <v>2645</v>
      </c>
      <c r="J187" t="s">
        <v>19</v>
      </c>
      <c r="K187" t="s">
        <v>38</v>
      </c>
      <c r="L187" t="s">
        <v>28</v>
      </c>
      <c r="M187" t="s">
        <v>22</v>
      </c>
      <c r="N187">
        <v>4</v>
      </c>
    </row>
    <row r="188" spans="1:14" x14ac:dyDescent="0.25">
      <c r="A188">
        <v>187</v>
      </c>
      <c r="B188">
        <v>23</v>
      </c>
      <c r="C188" t="s">
        <v>14</v>
      </c>
      <c r="D188" t="s">
        <v>36</v>
      </c>
      <c r="E188" t="s">
        <v>16</v>
      </c>
      <c r="F188" t="s">
        <v>33</v>
      </c>
      <c r="G188" s="4">
        <v>22</v>
      </c>
      <c r="H188" t="s">
        <v>47</v>
      </c>
      <c r="I188" s="4">
        <v>1609</v>
      </c>
      <c r="J188" t="s">
        <v>35</v>
      </c>
      <c r="K188" t="s">
        <v>20</v>
      </c>
      <c r="L188" t="s">
        <v>28</v>
      </c>
      <c r="M188" t="s">
        <v>31</v>
      </c>
      <c r="N188">
        <v>5</v>
      </c>
    </row>
    <row r="189" spans="1:14" x14ac:dyDescent="0.25">
      <c r="A189">
        <v>188</v>
      </c>
      <c r="B189">
        <v>25</v>
      </c>
      <c r="C189" t="s">
        <v>14</v>
      </c>
      <c r="D189" t="s">
        <v>32</v>
      </c>
      <c r="E189" t="s">
        <v>16</v>
      </c>
      <c r="F189" t="s">
        <v>17</v>
      </c>
      <c r="G189" s="4">
        <v>12</v>
      </c>
      <c r="H189" t="s">
        <v>18</v>
      </c>
      <c r="I189" s="4">
        <v>1886</v>
      </c>
      <c r="J189" t="s">
        <v>41</v>
      </c>
      <c r="K189" t="s">
        <v>20</v>
      </c>
      <c r="L189" t="s">
        <v>21</v>
      </c>
      <c r="M189" t="s">
        <v>22</v>
      </c>
      <c r="N189">
        <v>3</v>
      </c>
    </row>
    <row r="190" spans="1:14" x14ac:dyDescent="0.25">
      <c r="A190">
        <v>189</v>
      </c>
      <c r="B190">
        <v>24</v>
      </c>
      <c r="C190" t="s">
        <v>14</v>
      </c>
      <c r="D190" t="s">
        <v>32</v>
      </c>
      <c r="E190" t="s">
        <v>24</v>
      </c>
      <c r="F190" t="s">
        <v>17</v>
      </c>
      <c r="G190" s="4">
        <v>7</v>
      </c>
      <c r="H190" t="s">
        <v>47</v>
      </c>
      <c r="I190" s="4">
        <v>413</v>
      </c>
      <c r="J190" t="s">
        <v>27</v>
      </c>
      <c r="K190" t="s">
        <v>48</v>
      </c>
      <c r="L190" t="s">
        <v>28</v>
      </c>
      <c r="M190" t="s">
        <v>31</v>
      </c>
      <c r="N190">
        <v>5</v>
      </c>
    </row>
    <row r="191" spans="1:14" x14ac:dyDescent="0.25">
      <c r="A191">
        <v>190</v>
      </c>
      <c r="B191">
        <v>25</v>
      </c>
      <c r="C191" t="s">
        <v>14</v>
      </c>
      <c r="D191" t="s">
        <v>36</v>
      </c>
      <c r="E191" t="s">
        <v>39</v>
      </c>
      <c r="F191" t="s">
        <v>25</v>
      </c>
      <c r="G191" s="4">
        <v>22</v>
      </c>
      <c r="H191" t="s">
        <v>34</v>
      </c>
      <c r="I191" s="4">
        <v>889</v>
      </c>
      <c r="J191" t="s">
        <v>50</v>
      </c>
      <c r="K191" t="s">
        <v>38</v>
      </c>
      <c r="L191" t="s">
        <v>28</v>
      </c>
      <c r="M191" t="s">
        <v>22</v>
      </c>
      <c r="N191">
        <v>1</v>
      </c>
    </row>
    <row r="192" spans="1:14" x14ac:dyDescent="0.25">
      <c r="A192">
        <v>191</v>
      </c>
      <c r="B192">
        <v>39</v>
      </c>
      <c r="C192" t="s">
        <v>29</v>
      </c>
      <c r="D192" t="s">
        <v>32</v>
      </c>
      <c r="E192" t="s">
        <v>16</v>
      </c>
      <c r="F192" t="s">
        <v>45</v>
      </c>
      <c r="G192" s="4">
        <v>21</v>
      </c>
      <c r="H192" t="s">
        <v>37</v>
      </c>
      <c r="I192" s="4">
        <v>905</v>
      </c>
      <c r="J192" t="s">
        <v>45</v>
      </c>
      <c r="K192" t="s">
        <v>20</v>
      </c>
      <c r="L192" t="s">
        <v>21</v>
      </c>
      <c r="M192" t="s">
        <v>31</v>
      </c>
      <c r="N192">
        <v>4</v>
      </c>
    </row>
    <row r="193" spans="1:14" x14ac:dyDescent="0.25">
      <c r="A193">
        <v>192</v>
      </c>
      <c r="B193">
        <v>38</v>
      </c>
      <c r="C193" t="s">
        <v>29</v>
      </c>
      <c r="D193" t="s">
        <v>36</v>
      </c>
      <c r="E193" t="s">
        <v>39</v>
      </c>
      <c r="F193" t="s">
        <v>42</v>
      </c>
      <c r="G193" s="4">
        <v>26</v>
      </c>
      <c r="H193" t="s">
        <v>37</v>
      </c>
      <c r="I193" s="4">
        <v>1561</v>
      </c>
      <c r="J193" t="s">
        <v>35</v>
      </c>
      <c r="K193" t="s">
        <v>20</v>
      </c>
      <c r="L193" t="s">
        <v>21</v>
      </c>
      <c r="M193" t="s">
        <v>31</v>
      </c>
      <c r="N193">
        <v>5</v>
      </c>
    </row>
    <row r="194" spans="1:14" x14ac:dyDescent="0.25">
      <c r="A194">
        <v>193</v>
      </c>
      <c r="B194">
        <v>25</v>
      </c>
      <c r="C194" t="s">
        <v>29</v>
      </c>
      <c r="D194" t="s">
        <v>15</v>
      </c>
      <c r="E194" t="s">
        <v>24</v>
      </c>
      <c r="F194" t="s">
        <v>42</v>
      </c>
      <c r="G194" s="4">
        <v>12</v>
      </c>
      <c r="H194" t="s">
        <v>26</v>
      </c>
      <c r="I194" s="4">
        <v>1231</v>
      </c>
      <c r="J194" t="s">
        <v>44</v>
      </c>
      <c r="K194" t="s">
        <v>20</v>
      </c>
      <c r="L194" t="s">
        <v>21</v>
      </c>
      <c r="M194" t="s">
        <v>31</v>
      </c>
      <c r="N194">
        <v>2</v>
      </c>
    </row>
    <row r="195" spans="1:14" x14ac:dyDescent="0.25">
      <c r="A195">
        <v>194</v>
      </c>
      <c r="B195">
        <v>24</v>
      </c>
      <c r="C195" t="s">
        <v>29</v>
      </c>
      <c r="D195" t="s">
        <v>32</v>
      </c>
      <c r="E195" t="s">
        <v>16</v>
      </c>
      <c r="F195" t="s">
        <v>45</v>
      </c>
      <c r="G195" s="4">
        <v>15</v>
      </c>
      <c r="H195" t="s">
        <v>40</v>
      </c>
      <c r="I195" s="4">
        <v>2648</v>
      </c>
      <c r="J195" t="s">
        <v>41</v>
      </c>
      <c r="K195" t="s">
        <v>34</v>
      </c>
      <c r="L195" t="s">
        <v>28</v>
      </c>
      <c r="M195" t="s">
        <v>22</v>
      </c>
      <c r="N195">
        <v>1</v>
      </c>
    </row>
    <row r="196" spans="1:14" x14ac:dyDescent="0.25">
      <c r="A196">
        <v>195</v>
      </c>
      <c r="B196">
        <v>20</v>
      </c>
      <c r="C196" t="s">
        <v>14</v>
      </c>
      <c r="D196" t="s">
        <v>32</v>
      </c>
      <c r="E196" t="s">
        <v>16</v>
      </c>
      <c r="F196" t="s">
        <v>30</v>
      </c>
      <c r="G196" s="4">
        <v>11</v>
      </c>
      <c r="H196" t="s">
        <v>46</v>
      </c>
      <c r="I196" s="4">
        <v>2406</v>
      </c>
      <c r="J196" t="s">
        <v>41</v>
      </c>
      <c r="K196" t="s">
        <v>38</v>
      </c>
      <c r="L196" t="s">
        <v>21</v>
      </c>
      <c r="M196" t="s">
        <v>22</v>
      </c>
      <c r="N196">
        <v>5</v>
      </c>
    </row>
    <row r="197" spans="1:14" x14ac:dyDescent="0.25">
      <c r="A197">
        <v>196</v>
      </c>
      <c r="B197">
        <v>33</v>
      </c>
      <c r="C197" t="s">
        <v>23</v>
      </c>
      <c r="D197" t="s">
        <v>15</v>
      </c>
      <c r="E197" t="s">
        <v>39</v>
      </c>
      <c r="F197" t="s">
        <v>25</v>
      </c>
      <c r="G197" s="4">
        <v>12</v>
      </c>
      <c r="H197" t="s">
        <v>34</v>
      </c>
      <c r="I197" s="4">
        <v>2849</v>
      </c>
      <c r="J197" t="s">
        <v>35</v>
      </c>
      <c r="K197" t="s">
        <v>20</v>
      </c>
      <c r="L197" t="s">
        <v>28</v>
      </c>
      <c r="M197" t="s">
        <v>31</v>
      </c>
      <c r="N197">
        <v>5</v>
      </c>
    </row>
    <row r="198" spans="1:14" x14ac:dyDescent="0.25">
      <c r="A198">
        <v>197</v>
      </c>
      <c r="B198">
        <v>27</v>
      </c>
      <c r="C198" t="s">
        <v>29</v>
      </c>
      <c r="D198" t="s">
        <v>32</v>
      </c>
      <c r="E198" t="s">
        <v>16</v>
      </c>
      <c r="F198" t="s">
        <v>17</v>
      </c>
      <c r="G198" s="4">
        <v>13</v>
      </c>
      <c r="H198" t="s">
        <v>43</v>
      </c>
      <c r="I198" s="4">
        <v>1473</v>
      </c>
      <c r="J198" t="s">
        <v>50</v>
      </c>
      <c r="K198" t="s">
        <v>38</v>
      </c>
      <c r="L198" t="s">
        <v>28</v>
      </c>
      <c r="M198" t="s">
        <v>31</v>
      </c>
      <c r="N198">
        <v>5</v>
      </c>
    </row>
    <row r="199" spans="1:14" x14ac:dyDescent="0.25">
      <c r="A199">
        <v>198</v>
      </c>
      <c r="B199">
        <v>31</v>
      </c>
      <c r="C199" t="s">
        <v>23</v>
      </c>
      <c r="D199" t="s">
        <v>15</v>
      </c>
      <c r="E199" t="s">
        <v>16</v>
      </c>
      <c r="F199" t="s">
        <v>30</v>
      </c>
      <c r="G199" s="4">
        <v>6</v>
      </c>
      <c r="H199" t="s">
        <v>26</v>
      </c>
      <c r="I199" s="4">
        <v>2304</v>
      </c>
      <c r="J199" t="s">
        <v>35</v>
      </c>
      <c r="K199" t="s">
        <v>38</v>
      </c>
      <c r="L199" t="s">
        <v>21</v>
      </c>
      <c r="M199" t="s">
        <v>31</v>
      </c>
      <c r="N199">
        <v>2</v>
      </c>
    </row>
    <row r="200" spans="1:14" x14ac:dyDescent="0.25">
      <c r="A200">
        <v>199</v>
      </c>
      <c r="B200">
        <v>25</v>
      </c>
      <c r="C200" t="s">
        <v>29</v>
      </c>
      <c r="D200" t="s">
        <v>36</v>
      </c>
      <c r="E200" t="s">
        <v>24</v>
      </c>
      <c r="F200" t="s">
        <v>17</v>
      </c>
      <c r="G200" s="4">
        <v>17</v>
      </c>
      <c r="H200" t="s">
        <v>34</v>
      </c>
      <c r="I200" s="4">
        <v>2333</v>
      </c>
      <c r="J200" t="s">
        <v>35</v>
      </c>
      <c r="K200" t="s">
        <v>20</v>
      </c>
      <c r="L200" t="s">
        <v>28</v>
      </c>
      <c r="M200" t="s">
        <v>31</v>
      </c>
      <c r="N200">
        <v>2</v>
      </c>
    </row>
    <row r="201" spans="1:14" x14ac:dyDescent="0.25">
      <c r="A201">
        <v>200</v>
      </c>
      <c r="B201">
        <v>23</v>
      </c>
      <c r="C201" t="s">
        <v>14</v>
      </c>
      <c r="D201" t="s">
        <v>36</v>
      </c>
      <c r="E201" t="s">
        <v>24</v>
      </c>
      <c r="F201" t="s">
        <v>42</v>
      </c>
      <c r="G201" s="4">
        <v>28</v>
      </c>
      <c r="H201" t="s">
        <v>37</v>
      </c>
      <c r="I201" s="4">
        <v>1442</v>
      </c>
      <c r="J201" t="s">
        <v>41</v>
      </c>
      <c r="K201" t="s">
        <v>48</v>
      </c>
      <c r="L201" t="s">
        <v>21</v>
      </c>
      <c r="M201" t="s">
        <v>22</v>
      </c>
      <c r="N201">
        <v>2</v>
      </c>
    </row>
    <row r="202" spans="1:14" x14ac:dyDescent="0.25">
      <c r="A202">
        <v>201</v>
      </c>
      <c r="B202">
        <v>18</v>
      </c>
      <c r="C202" t="s">
        <v>14</v>
      </c>
      <c r="D202" t="s">
        <v>36</v>
      </c>
      <c r="E202" t="s">
        <v>16</v>
      </c>
      <c r="F202" t="s">
        <v>33</v>
      </c>
      <c r="G202" s="4">
        <v>18</v>
      </c>
      <c r="H202" t="s">
        <v>40</v>
      </c>
      <c r="I202" s="4">
        <v>563</v>
      </c>
      <c r="J202" t="s">
        <v>49</v>
      </c>
      <c r="K202" t="s">
        <v>34</v>
      </c>
      <c r="L202" t="s">
        <v>21</v>
      </c>
      <c r="M202" t="s">
        <v>31</v>
      </c>
      <c r="N202">
        <v>2</v>
      </c>
    </row>
    <row r="203" spans="1:14" x14ac:dyDescent="0.25">
      <c r="A203">
        <v>202</v>
      </c>
      <c r="B203">
        <v>39</v>
      </c>
      <c r="C203" t="s">
        <v>23</v>
      </c>
      <c r="D203" t="s">
        <v>36</v>
      </c>
      <c r="E203" t="s">
        <v>39</v>
      </c>
      <c r="F203" t="s">
        <v>33</v>
      </c>
      <c r="G203" s="4">
        <v>20</v>
      </c>
      <c r="H203" t="s">
        <v>47</v>
      </c>
      <c r="I203" s="4">
        <v>64</v>
      </c>
      <c r="J203" t="s">
        <v>35</v>
      </c>
      <c r="K203" t="s">
        <v>34</v>
      </c>
      <c r="L203" t="s">
        <v>21</v>
      </c>
      <c r="M203" t="s">
        <v>31</v>
      </c>
      <c r="N203">
        <v>1</v>
      </c>
    </row>
    <row r="204" spans="1:14" x14ac:dyDescent="0.25">
      <c r="A204">
        <v>203</v>
      </c>
      <c r="B204">
        <v>23</v>
      </c>
      <c r="C204" t="s">
        <v>14</v>
      </c>
      <c r="D204" t="s">
        <v>15</v>
      </c>
      <c r="E204" t="s">
        <v>16</v>
      </c>
      <c r="F204" t="s">
        <v>45</v>
      </c>
      <c r="G204" s="4">
        <v>8</v>
      </c>
      <c r="H204" t="s">
        <v>46</v>
      </c>
      <c r="I204" s="4">
        <v>394</v>
      </c>
      <c r="J204" t="s">
        <v>50</v>
      </c>
      <c r="K204" t="s">
        <v>34</v>
      </c>
      <c r="L204" t="s">
        <v>28</v>
      </c>
      <c r="M204" t="s">
        <v>22</v>
      </c>
      <c r="N204">
        <v>5</v>
      </c>
    </row>
    <row r="205" spans="1:14" x14ac:dyDescent="0.25">
      <c r="A205">
        <v>204</v>
      </c>
      <c r="B205">
        <v>29</v>
      </c>
      <c r="C205" t="s">
        <v>14</v>
      </c>
      <c r="D205" t="s">
        <v>36</v>
      </c>
      <c r="E205" t="s">
        <v>16</v>
      </c>
      <c r="F205" t="s">
        <v>30</v>
      </c>
      <c r="G205" s="4">
        <v>17</v>
      </c>
      <c r="H205" t="s">
        <v>18</v>
      </c>
      <c r="I205" s="4">
        <v>1880</v>
      </c>
      <c r="J205" t="s">
        <v>41</v>
      </c>
      <c r="K205" t="s">
        <v>48</v>
      </c>
      <c r="L205" t="s">
        <v>28</v>
      </c>
      <c r="M205" t="s">
        <v>31</v>
      </c>
      <c r="N205">
        <v>5</v>
      </c>
    </row>
    <row r="206" spans="1:14" x14ac:dyDescent="0.25">
      <c r="A206">
        <v>205</v>
      </c>
      <c r="B206">
        <v>30</v>
      </c>
      <c r="C206" t="s">
        <v>23</v>
      </c>
      <c r="D206" t="s">
        <v>15</v>
      </c>
      <c r="E206" t="s">
        <v>24</v>
      </c>
      <c r="F206" t="s">
        <v>25</v>
      </c>
      <c r="G206" s="4">
        <v>22</v>
      </c>
      <c r="H206" t="s">
        <v>18</v>
      </c>
      <c r="I206" s="4">
        <v>1949</v>
      </c>
      <c r="J206" t="s">
        <v>49</v>
      </c>
      <c r="K206" t="s">
        <v>20</v>
      </c>
      <c r="L206" t="s">
        <v>28</v>
      </c>
      <c r="M206" t="s">
        <v>22</v>
      </c>
      <c r="N206">
        <v>1</v>
      </c>
    </row>
    <row r="207" spans="1:14" x14ac:dyDescent="0.25">
      <c r="A207">
        <v>206</v>
      </c>
      <c r="B207">
        <v>34</v>
      </c>
      <c r="C207" t="s">
        <v>23</v>
      </c>
      <c r="D207" t="s">
        <v>36</v>
      </c>
      <c r="E207" t="s">
        <v>39</v>
      </c>
      <c r="F207" t="s">
        <v>30</v>
      </c>
      <c r="G207" s="4">
        <v>6</v>
      </c>
      <c r="H207" t="s">
        <v>47</v>
      </c>
      <c r="I207" s="4">
        <v>941</v>
      </c>
      <c r="J207" t="s">
        <v>19</v>
      </c>
      <c r="K207" t="s">
        <v>34</v>
      </c>
      <c r="L207" t="s">
        <v>21</v>
      </c>
      <c r="M207" t="s">
        <v>22</v>
      </c>
      <c r="N207">
        <v>2</v>
      </c>
    </row>
    <row r="208" spans="1:14" x14ac:dyDescent="0.25">
      <c r="A208">
        <v>207</v>
      </c>
      <c r="B208">
        <v>28</v>
      </c>
      <c r="C208" t="s">
        <v>14</v>
      </c>
      <c r="D208" t="s">
        <v>36</v>
      </c>
      <c r="E208" t="s">
        <v>39</v>
      </c>
      <c r="F208" t="s">
        <v>33</v>
      </c>
      <c r="G208" s="4">
        <v>5</v>
      </c>
      <c r="H208" t="s">
        <v>46</v>
      </c>
      <c r="I208" s="4">
        <v>848</v>
      </c>
      <c r="J208" t="s">
        <v>44</v>
      </c>
      <c r="K208" t="s">
        <v>38</v>
      </c>
      <c r="L208" t="s">
        <v>28</v>
      </c>
      <c r="M208" t="s">
        <v>31</v>
      </c>
      <c r="N208">
        <v>5</v>
      </c>
    </row>
    <row r="209" spans="1:14" x14ac:dyDescent="0.25">
      <c r="A209">
        <v>208</v>
      </c>
      <c r="B209">
        <v>30</v>
      </c>
      <c r="C209" t="s">
        <v>23</v>
      </c>
      <c r="D209" t="s">
        <v>36</v>
      </c>
      <c r="E209" t="s">
        <v>39</v>
      </c>
      <c r="F209" t="s">
        <v>33</v>
      </c>
      <c r="G209" s="4">
        <v>29</v>
      </c>
      <c r="H209" t="s">
        <v>18</v>
      </c>
      <c r="I209" s="4">
        <v>573</v>
      </c>
      <c r="J209" t="s">
        <v>45</v>
      </c>
      <c r="K209" t="s">
        <v>38</v>
      </c>
      <c r="L209" t="s">
        <v>21</v>
      </c>
      <c r="M209" t="s">
        <v>31</v>
      </c>
      <c r="N209">
        <v>1</v>
      </c>
    </row>
    <row r="210" spans="1:14" x14ac:dyDescent="0.25">
      <c r="A210">
        <v>209</v>
      </c>
      <c r="B210">
        <v>37</v>
      </c>
      <c r="C210" t="s">
        <v>29</v>
      </c>
      <c r="D210" t="s">
        <v>32</v>
      </c>
      <c r="E210" t="s">
        <v>16</v>
      </c>
      <c r="F210" t="s">
        <v>17</v>
      </c>
      <c r="G210" s="4">
        <v>29</v>
      </c>
      <c r="H210" t="s">
        <v>46</v>
      </c>
      <c r="I210" s="4">
        <v>2514</v>
      </c>
      <c r="J210" t="s">
        <v>49</v>
      </c>
      <c r="K210" t="s">
        <v>20</v>
      </c>
      <c r="L210" t="s">
        <v>21</v>
      </c>
      <c r="M210" t="s">
        <v>31</v>
      </c>
      <c r="N210">
        <v>5</v>
      </c>
    </row>
    <row r="211" spans="1:14" x14ac:dyDescent="0.25">
      <c r="A211">
        <v>210</v>
      </c>
      <c r="B211">
        <v>35</v>
      </c>
      <c r="C211" t="s">
        <v>23</v>
      </c>
      <c r="D211" t="s">
        <v>36</v>
      </c>
      <c r="E211" t="s">
        <v>24</v>
      </c>
      <c r="F211" t="s">
        <v>42</v>
      </c>
      <c r="G211" s="4">
        <v>17</v>
      </c>
      <c r="H211" t="s">
        <v>18</v>
      </c>
      <c r="I211" s="4">
        <v>1768</v>
      </c>
      <c r="J211" t="s">
        <v>35</v>
      </c>
      <c r="K211" t="s">
        <v>38</v>
      </c>
      <c r="L211" t="s">
        <v>21</v>
      </c>
      <c r="M211" t="s">
        <v>22</v>
      </c>
      <c r="N211">
        <v>2</v>
      </c>
    </row>
    <row r="212" spans="1:14" x14ac:dyDescent="0.25">
      <c r="A212">
        <v>211</v>
      </c>
      <c r="B212">
        <v>26</v>
      </c>
      <c r="C212" t="s">
        <v>23</v>
      </c>
      <c r="D212" t="s">
        <v>32</v>
      </c>
      <c r="E212" t="s">
        <v>39</v>
      </c>
      <c r="F212" t="s">
        <v>30</v>
      </c>
      <c r="G212" s="4">
        <v>9</v>
      </c>
      <c r="H212" t="s">
        <v>18</v>
      </c>
      <c r="I212" s="4">
        <v>1556</v>
      </c>
      <c r="J212" t="s">
        <v>19</v>
      </c>
      <c r="K212" t="s">
        <v>48</v>
      </c>
      <c r="L212" t="s">
        <v>28</v>
      </c>
      <c r="M212" t="s">
        <v>31</v>
      </c>
      <c r="N212">
        <v>2</v>
      </c>
    </row>
    <row r="213" spans="1:14" x14ac:dyDescent="0.25">
      <c r="A213">
        <v>212</v>
      </c>
      <c r="B213">
        <v>29</v>
      </c>
      <c r="C213" t="s">
        <v>14</v>
      </c>
      <c r="D213" t="s">
        <v>15</v>
      </c>
      <c r="E213" t="s">
        <v>16</v>
      </c>
      <c r="F213" t="s">
        <v>42</v>
      </c>
      <c r="G213" s="4">
        <v>29</v>
      </c>
      <c r="H213" t="s">
        <v>43</v>
      </c>
      <c r="I213" s="4">
        <v>1104</v>
      </c>
      <c r="J213" t="s">
        <v>45</v>
      </c>
      <c r="K213" t="s">
        <v>48</v>
      </c>
      <c r="L213" t="s">
        <v>21</v>
      </c>
      <c r="M213" t="s">
        <v>22</v>
      </c>
      <c r="N213">
        <v>1</v>
      </c>
    </row>
    <row r="214" spans="1:14" x14ac:dyDescent="0.25">
      <c r="A214">
        <v>213</v>
      </c>
      <c r="B214">
        <v>29</v>
      </c>
      <c r="C214" t="s">
        <v>23</v>
      </c>
      <c r="D214" t="s">
        <v>32</v>
      </c>
      <c r="E214" t="s">
        <v>39</v>
      </c>
      <c r="F214" t="s">
        <v>33</v>
      </c>
      <c r="G214" s="4">
        <v>22</v>
      </c>
      <c r="H214" t="s">
        <v>46</v>
      </c>
      <c r="I214" s="4">
        <v>381</v>
      </c>
      <c r="J214" t="s">
        <v>45</v>
      </c>
      <c r="K214" t="s">
        <v>20</v>
      </c>
      <c r="L214" t="s">
        <v>21</v>
      </c>
      <c r="M214" t="s">
        <v>22</v>
      </c>
      <c r="N214">
        <v>5</v>
      </c>
    </row>
    <row r="215" spans="1:14" x14ac:dyDescent="0.25">
      <c r="A215">
        <v>214</v>
      </c>
      <c r="B215">
        <v>36</v>
      </c>
      <c r="C215" t="s">
        <v>14</v>
      </c>
      <c r="D215" t="s">
        <v>15</v>
      </c>
      <c r="E215" t="s">
        <v>39</v>
      </c>
      <c r="F215" t="s">
        <v>30</v>
      </c>
      <c r="G215" s="4">
        <v>21</v>
      </c>
      <c r="H215" t="s">
        <v>46</v>
      </c>
      <c r="I215" s="4">
        <v>694</v>
      </c>
      <c r="J215" t="s">
        <v>49</v>
      </c>
      <c r="K215" t="s">
        <v>38</v>
      </c>
      <c r="L215" t="s">
        <v>21</v>
      </c>
      <c r="M215" t="s">
        <v>22</v>
      </c>
      <c r="N215">
        <v>4</v>
      </c>
    </row>
    <row r="216" spans="1:14" x14ac:dyDescent="0.25">
      <c r="A216">
        <v>215</v>
      </c>
      <c r="B216">
        <v>31</v>
      </c>
      <c r="C216" t="s">
        <v>29</v>
      </c>
      <c r="D216" t="s">
        <v>15</v>
      </c>
      <c r="E216" t="s">
        <v>39</v>
      </c>
      <c r="F216" t="s">
        <v>30</v>
      </c>
      <c r="G216" s="4">
        <v>13</v>
      </c>
      <c r="H216" t="s">
        <v>40</v>
      </c>
      <c r="I216" s="4">
        <v>1724</v>
      </c>
      <c r="J216" t="s">
        <v>49</v>
      </c>
      <c r="K216" t="s">
        <v>38</v>
      </c>
      <c r="L216" t="s">
        <v>28</v>
      </c>
      <c r="M216" t="s">
        <v>22</v>
      </c>
      <c r="N216">
        <v>3</v>
      </c>
    </row>
    <row r="217" spans="1:14" x14ac:dyDescent="0.25">
      <c r="A217">
        <v>216</v>
      </c>
      <c r="B217">
        <v>22</v>
      </c>
      <c r="C217" t="s">
        <v>29</v>
      </c>
      <c r="D217" t="s">
        <v>36</v>
      </c>
      <c r="E217" t="s">
        <v>39</v>
      </c>
      <c r="F217" t="s">
        <v>30</v>
      </c>
      <c r="G217" s="4">
        <v>14</v>
      </c>
      <c r="H217" t="s">
        <v>43</v>
      </c>
      <c r="I217" s="4">
        <v>27</v>
      </c>
      <c r="J217" t="s">
        <v>50</v>
      </c>
      <c r="K217" t="s">
        <v>20</v>
      </c>
      <c r="L217" t="s">
        <v>21</v>
      </c>
      <c r="M217" t="s">
        <v>31</v>
      </c>
      <c r="N217">
        <v>4</v>
      </c>
    </row>
    <row r="218" spans="1:14" x14ac:dyDescent="0.25">
      <c r="A218">
        <v>217</v>
      </c>
      <c r="B218">
        <v>28</v>
      </c>
      <c r="C218" t="s">
        <v>29</v>
      </c>
      <c r="D218" t="s">
        <v>32</v>
      </c>
      <c r="E218" t="s">
        <v>16</v>
      </c>
      <c r="F218" t="s">
        <v>42</v>
      </c>
      <c r="G218" s="4">
        <v>24</v>
      </c>
      <c r="H218" t="s">
        <v>34</v>
      </c>
      <c r="I218" s="4">
        <v>2847</v>
      </c>
      <c r="J218" t="s">
        <v>35</v>
      </c>
      <c r="K218" t="s">
        <v>20</v>
      </c>
      <c r="L218" t="s">
        <v>21</v>
      </c>
      <c r="M218" t="s">
        <v>31</v>
      </c>
      <c r="N218">
        <v>2</v>
      </c>
    </row>
    <row r="219" spans="1:14" x14ac:dyDescent="0.25">
      <c r="A219">
        <v>218</v>
      </c>
      <c r="B219">
        <v>30</v>
      </c>
      <c r="C219" t="s">
        <v>14</v>
      </c>
      <c r="D219" t="s">
        <v>36</v>
      </c>
      <c r="E219" t="s">
        <v>16</v>
      </c>
      <c r="F219" t="s">
        <v>45</v>
      </c>
      <c r="G219" s="4">
        <v>13</v>
      </c>
      <c r="H219" t="s">
        <v>37</v>
      </c>
      <c r="I219" s="4">
        <v>1609</v>
      </c>
      <c r="J219" t="s">
        <v>41</v>
      </c>
      <c r="K219" t="s">
        <v>20</v>
      </c>
      <c r="L219" t="s">
        <v>21</v>
      </c>
      <c r="M219" t="s">
        <v>31</v>
      </c>
      <c r="N219">
        <v>3</v>
      </c>
    </row>
    <row r="220" spans="1:14" x14ac:dyDescent="0.25">
      <c r="A220">
        <v>219</v>
      </c>
      <c r="B220">
        <v>27</v>
      </c>
      <c r="C220" t="s">
        <v>23</v>
      </c>
      <c r="D220" t="s">
        <v>32</v>
      </c>
      <c r="E220" t="s">
        <v>16</v>
      </c>
      <c r="F220" t="s">
        <v>17</v>
      </c>
      <c r="G220" s="4">
        <v>27</v>
      </c>
      <c r="H220" t="s">
        <v>46</v>
      </c>
      <c r="I220" s="4">
        <v>283</v>
      </c>
      <c r="J220" t="s">
        <v>27</v>
      </c>
      <c r="K220" t="s">
        <v>34</v>
      </c>
      <c r="L220" t="s">
        <v>21</v>
      </c>
      <c r="M220" t="s">
        <v>31</v>
      </c>
      <c r="N220">
        <v>4</v>
      </c>
    </row>
    <row r="221" spans="1:14" x14ac:dyDescent="0.25">
      <c r="A221">
        <v>220</v>
      </c>
      <c r="B221">
        <v>30</v>
      </c>
      <c r="C221" t="s">
        <v>29</v>
      </c>
      <c r="D221" t="s">
        <v>36</v>
      </c>
      <c r="E221" t="s">
        <v>39</v>
      </c>
      <c r="F221" t="s">
        <v>45</v>
      </c>
      <c r="G221" s="4">
        <v>7</v>
      </c>
      <c r="H221" t="s">
        <v>26</v>
      </c>
      <c r="I221" s="4">
        <v>1839</v>
      </c>
      <c r="J221" t="s">
        <v>41</v>
      </c>
      <c r="K221" t="s">
        <v>34</v>
      </c>
      <c r="L221" t="s">
        <v>21</v>
      </c>
      <c r="M221" t="s">
        <v>22</v>
      </c>
      <c r="N221">
        <v>5</v>
      </c>
    </row>
    <row r="222" spans="1:14" x14ac:dyDescent="0.25">
      <c r="A222">
        <v>221</v>
      </c>
      <c r="B222">
        <v>25</v>
      </c>
      <c r="C222" t="s">
        <v>14</v>
      </c>
      <c r="D222" t="s">
        <v>36</v>
      </c>
      <c r="E222" t="s">
        <v>24</v>
      </c>
      <c r="F222" t="s">
        <v>33</v>
      </c>
      <c r="G222" s="4">
        <v>26</v>
      </c>
      <c r="H222" t="s">
        <v>26</v>
      </c>
      <c r="I222" s="4">
        <v>2722</v>
      </c>
      <c r="J222" t="s">
        <v>50</v>
      </c>
      <c r="K222" t="s">
        <v>20</v>
      </c>
      <c r="L222" t="s">
        <v>21</v>
      </c>
      <c r="M222" t="s">
        <v>22</v>
      </c>
      <c r="N222">
        <v>3</v>
      </c>
    </row>
    <row r="223" spans="1:14" x14ac:dyDescent="0.25">
      <c r="A223">
        <v>222</v>
      </c>
      <c r="B223">
        <v>21</v>
      </c>
      <c r="C223" t="s">
        <v>23</v>
      </c>
      <c r="D223" t="s">
        <v>36</v>
      </c>
      <c r="E223" t="s">
        <v>24</v>
      </c>
      <c r="F223" t="s">
        <v>45</v>
      </c>
      <c r="G223" s="4">
        <v>13</v>
      </c>
      <c r="H223" t="s">
        <v>40</v>
      </c>
      <c r="I223" s="4">
        <v>909</v>
      </c>
      <c r="J223" t="s">
        <v>49</v>
      </c>
      <c r="K223" t="s">
        <v>34</v>
      </c>
      <c r="L223" t="s">
        <v>28</v>
      </c>
      <c r="M223" t="s">
        <v>31</v>
      </c>
      <c r="N223">
        <v>5</v>
      </c>
    </row>
    <row r="224" spans="1:14" x14ac:dyDescent="0.25">
      <c r="A224">
        <v>223</v>
      </c>
      <c r="B224">
        <v>39</v>
      </c>
      <c r="C224" t="s">
        <v>14</v>
      </c>
      <c r="D224" t="s">
        <v>32</v>
      </c>
      <c r="E224" t="s">
        <v>16</v>
      </c>
      <c r="F224" t="s">
        <v>42</v>
      </c>
      <c r="G224" s="4">
        <v>23</v>
      </c>
      <c r="H224" t="s">
        <v>18</v>
      </c>
      <c r="I224" s="4">
        <v>2828</v>
      </c>
      <c r="J224" t="s">
        <v>35</v>
      </c>
      <c r="K224" t="s">
        <v>20</v>
      </c>
      <c r="L224" t="s">
        <v>21</v>
      </c>
      <c r="M224" t="s">
        <v>22</v>
      </c>
      <c r="N224">
        <v>5</v>
      </c>
    </row>
    <row r="225" spans="1:14" x14ac:dyDescent="0.25">
      <c r="A225">
        <v>224</v>
      </c>
      <c r="B225">
        <v>22</v>
      </c>
      <c r="C225" t="s">
        <v>29</v>
      </c>
      <c r="D225" t="s">
        <v>15</v>
      </c>
      <c r="E225" t="s">
        <v>24</v>
      </c>
      <c r="F225" t="s">
        <v>42</v>
      </c>
      <c r="G225" s="4">
        <v>16</v>
      </c>
      <c r="H225" t="s">
        <v>34</v>
      </c>
      <c r="I225" s="4">
        <v>1277</v>
      </c>
      <c r="J225" t="s">
        <v>49</v>
      </c>
      <c r="K225" t="s">
        <v>48</v>
      </c>
      <c r="L225" t="s">
        <v>28</v>
      </c>
      <c r="M225" t="s">
        <v>31</v>
      </c>
      <c r="N225">
        <v>3</v>
      </c>
    </row>
    <row r="226" spans="1:14" x14ac:dyDescent="0.25">
      <c r="A226">
        <v>225</v>
      </c>
      <c r="B226">
        <v>28</v>
      </c>
      <c r="C226" t="s">
        <v>23</v>
      </c>
      <c r="D226" t="s">
        <v>15</v>
      </c>
      <c r="E226" t="s">
        <v>16</v>
      </c>
      <c r="F226" t="s">
        <v>30</v>
      </c>
      <c r="G226" s="4">
        <v>7</v>
      </c>
      <c r="H226" t="s">
        <v>18</v>
      </c>
      <c r="I226" s="4">
        <v>1229</v>
      </c>
      <c r="J226" t="s">
        <v>44</v>
      </c>
      <c r="K226" t="s">
        <v>38</v>
      </c>
      <c r="L226" t="s">
        <v>21</v>
      </c>
      <c r="M226" t="s">
        <v>22</v>
      </c>
      <c r="N226">
        <v>1</v>
      </c>
    </row>
    <row r="227" spans="1:14" x14ac:dyDescent="0.25">
      <c r="A227">
        <v>226</v>
      </c>
      <c r="B227">
        <v>28</v>
      </c>
      <c r="C227" t="s">
        <v>14</v>
      </c>
      <c r="D227" t="s">
        <v>32</v>
      </c>
      <c r="E227" t="s">
        <v>24</v>
      </c>
      <c r="F227" t="s">
        <v>25</v>
      </c>
      <c r="G227" s="4">
        <v>22</v>
      </c>
      <c r="H227" t="s">
        <v>37</v>
      </c>
      <c r="I227" s="4">
        <v>1746</v>
      </c>
      <c r="J227" t="s">
        <v>45</v>
      </c>
      <c r="K227" t="s">
        <v>20</v>
      </c>
      <c r="L227" t="s">
        <v>21</v>
      </c>
      <c r="M227" t="s">
        <v>22</v>
      </c>
      <c r="N227">
        <v>4</v>
      </c>
    </row>
    <row r="228" spans="1:14" x14ac:dyDescent="0.25">
      <c r="A228">
        <v>227</v>
      </c>
      <c r="B228">
        <v>32</v>
      </c>
      <c r="C228" t="s">
        <v>14</v>
      </c>
      <c r="D228" t="s">
        <v>36</v>
      </c>
      <c r="E228" t="s">
        <v>16</v>
      </c>
      <c r="F228" t="s">
        <v>25</v>
      </c>
      <c r="G228" s="4">
        <v>23</v>
      </c>
      <c r="H228" t="s">
        <v>46</v>
      </c>
      <c r="I228" s="4">
        <v>1759</v>
      </c>
      <c r="J228" t="s">
        <v>19</v>
      </c>
      <c r="K228" t="s">
        <v>48</v>
      </c>
      <c r="L228" t="s">
        <v>21</v>
      </c>
      <c r="M228" t="s">
        <v>31</v>
      </c>
      <c r="N228">
        <v>4</v>
      </c>
    </row>
    <row r="229" spans="1:14" x14ac:dyDescent="0.25">
      <c r="A229">
        <v>228</v>
      </c>
      <c r="B229">
        <v>28</v>
      </c>
      <c r="C229" t="s">
        <v>29</v>
      </c>
      <c r="D229" t="s">
        <v>36</v>
      </c>
      <c r="E229" t="s">
        <v>39</v>
      </c>
      <c r="F229" t="s">
        <v>45</v>
      </c>
      <c r="G229" s="4">
        <v>11</v>
      </c>
      <c r="H229" t="s">
        <v>34</v>
      </c>
      <c r="I229" s="4">
        <v>1874</v>
      </c>
      <c r="J229" t="s">
        <v>45</v>
      </c>
      <c r="K229" t="s">
        <v>20</v>
      </c>
      <c r="L229" t="s">
        <v>21</v>
      </c>
      <c r="M229" t="s">
        <v>31</v>
      </c>
      <c r="N229">
        <v>1</v>
      </c>
    </row>
    <row r="230" spans="1:14" x14ac:dyDescent="0.25">
      <c r="A230">
        <v>229</v>
      </c>
      <c r="B230">
        <v>29</v>
      </c>
      <c r="C230" t="s">
        <v>23</v>
      </c>
      <c r="D230" t="s">
        <v>36</v>
      </c>
      <c r="E230" t="s">
        <v>39</v>
      </c>
      <c r="F230" t="s">
        <v>45</v>
      </c>
      <c r="G230" s="4">
        <v>19</v>
      </c>
      <c r="H230" t="s">
        <v>18</v>
      </c>
      <c r="I230" s="4">
        <v>2528</v>
      </c>
      <c r="J230" t="s">
        <v>44</v>
      </c>
      <c r="K230" t="s">
        <v>34</v>
      </c>
      <c r="L230" t="s">
        <v>21</v>
      </c>
      <c r="M230" t="s">
        <v>22</v>
      </c>
      <c r="N230">
        <v>2</v>
      </c>
    </row>
    <row r="231" spans="1:14" x14ac:dyDescent="0.25">
      <c r="A231">
        <v>230</v>
      </c>
      <c r="B231">
        <v>27</v>
      </c>
      <c r="C231" t="s">
        <v>23</v>
      </c>
      <c r="D231" t="s">
        <v>15</v>
      </c>
      <c r="E231" t="s">
        <v>24</v>
      </c>
      <c r="F231" t="s">
        <v>42</v>
      </c>
      <c r="G231" s="4">
        <v>8</v>
      </c>
      <c r="H231" t="s">
        <v>26</v>
      </c>
      <c r="I231" s="4">
        <v>749</v>
      </c>
      <c r="J231" t="s">
        <v>44</v>
      </c>
      <c r="K231" t="s">
        <v>20</v>
      </c>
      <c r="L231" t="s">
        <v>28</v>
      </c>
      <c r="M231" t="s">
        <v>22</v>
      </c>
      <c r="N231">
        <v>3</v>
      </c>
    </row>
    <row r="232" spans="1:14" x14ac:dyDescent="0.25">
      <c r="A232">
        <v>231</v>
      </c>
      <c r="B232">
        <v>33</v>
      </c>
      <c r="C232" t="s">
        <v>23</v>
      </c>
      <c r="D232" t="s">
        <v>15</v>
      </c>
      <c r="E232" t="s">
        <v>39</v>
      </c>
      <c r="F232" t="s">
        <v>30</v>
      </c>
      <c r="G232" s="4">
        <v>25</v>
      </c>
      <c r="H232" t="s">
        <v>37</v>
      </c>
      <c r="I232" s="4">
        <v>2201</v>
      </c>
      <c r="J232" t="s">
        <v>44</v>
      </c>
      <c r="K232" t="s">
        <v>34</v>
      </c>
      <c r="L232" t="s">
        <v>28</v>
      </c>
      <c r="M232" t="s">
        <v>22</v>
      </c>
      <c r="N232">
        <v>2</v>
      </c>
    </row>
    <row r="233" spans="1:14" x14ac:dyDescent="0.25">
      <c r="A233">
        <v>232</v>
      </c>
      <c r="B233">
        <v>29</v>
      </c>
      <c r="C233" t="s">
        <v>14</v>
      </c>
      <c r="D233" t="s">
        <v>32</v>
      </c>
      <c r="E233" t="s">
        <v>24</v>
      </c>
      <c r="F233" t="s">
        <v>45</v>
      </c>
      <c r="G233" s="4">
        <v>5</v>
      </c>
      <c r="H233" t="s">
        <v>43</v>
      </c>
      <c r="I233" s="4">
        <v>1984</v>
      </c>
      <c r="J233" t="s">
        <v>45</v>
      </c>
      <c r="K233" t="s">
        <v>20</v>
      </c>
      <c r="L233" t="s">
        <v>28</v>
      </c>
      <c r="M233" t="s">
        <v>31</v>
      </c>
      <c r="N233">
        <v>2</v>
      </c>
    </row>
    <row r="234" spans="1:14" x14ac:dyDescent="0.25">
      <c r="A234">
        <v>233</v>
      </c>
      <c r="B234">
        <v>33</v>
      </c>
      <c r="C234" t="s">
        <v>14</v>
      </c>
      <c r="D234" t="s">
        <v>15</v>
      </c>
      <c r="E234" t="s">
        <v>39</v>
      </c>
      <c r="F234" t="s">
        <v>33</v>
      </c>
      <c r="G234" s="4">
        <v>10</v>
      </c>
      <c r="H234" t="s">
        <v>46</v>
      </c>
      <c r="I234" s="4">
        <v>338</v>
      </c>
      <c r="J234" t="s">
        <v>27</v>
      </c>
      <c r="K234" t="s">
        <v>34</v>
      </c>
      <c r="L234" t="s">
        <v>21</v>
      </c>
      <c r="M234" t="s">
        <v>31</v>
      </c>
      <c r="N234">
        <v>5</v>
      </c>
    </row>
    <row r="235" spans="1:14" x14ac:dyDescent="0.25">
      <c r="A235">
        <v>234</v>
      </c>
      <c r="B235">
        <v>36</v>
      </c>
      <c r="C235" t="s">
        <v>23</v>
      </c>
      <c r="D235" t="s">
        <v>15</v>
      </c>
      <c r="E235" t="s">
        <v>24</v>
      </c>
      <c r="F235" t="s">
        <v>33</v>
      </c>
      <c r="G235" s="4">
        <v>28</v>
      </c>
      <c r="H235" t="s">
        <v>46</v>
      </c>
      <c r="I235" s="4">
        <v>2028</v>
      </c>
      <c r="J235" t="s">
        <v>50</v>
      </c>
      <c r="K235" t="s">
        <v>48</v>
      </c>
      <c r="L235" t="s">
        <v>28</v>
      </c>
      <c r="M235" t="s">
        <v>22</v>
      </c>
      <c r="N235">
        <v>5</v>
      </c>
    </row>
    <row r="236" spans="1:14" x14ac:dyDescent="0.25">
      <c r="A236">
        <v>235</v>
      </c>
      <c r="B236">
        <v>31</v>
      </c>
      <c r="C236" t="s">
        <v>29</v>
      </c>
      <c r="D236" t="s">
        <v>15</v>
      </c>
      <c r="E236" t="s">
        <v>39</v>
      </c>
      <c r="F236" t="s">
        <v>30</v>
      </c>
      <c r="G236" s="4">
        <v>8</v>
      </c>
      <c r="H236" t="s">
        <v>34</v>
      </c>
      <c r="I236" s="4">
        <v>2677</v>
      </c>
      <c r="J236" t="s">
        <v>19</v>
      </c>
      <c r="K236" t="s">
        <v>20</v>
      </c>
      <c r="L236" t="s">
        <v>21</v>
      </c>
      <c r="M236" t="s">
        <v>22</v>
      </c>
      <c r="N236">
        <v>2</v>
      </c>
    </row>
    <row r="237" spans="1:14" x14ac:dyDescent="0.25">
      <c r="A237">
        <v>236</v>
      </c>
      <c r="B237">
        <v>24</v>
      </c>
      <c r="C237" t="s">
        <v>23</v>
      </c>
      <c r="D237" t="s">
        <v>36</v>
      </c>
      <c r="E237" t="s">
        <v>24</v>
      </c>
      <c r="F237" t="s">
        <v>42</v>
      </c>
      <c r="G237" s="4">
        <v>30</v>
      </c>
      <c r="H237" t="s">
        <v>37</v>
      </c>
      <c r="I237" s="4">
        <v>2408</v>
      </c>
      <c r="J237" t="s">
        <v>44</v>
      </c>
      <c r="K237" t="s">
        <v>38</v>
      </c>
      <c r="L237" t="s">
        <v>21</v>
      </c>
      <c r="M237" t="s">
        <v>22</v>
      </c>
      <c r="N237">
        <v>3</v>
      </c>
    </row>
    <row r="238" spans="1:14" x14ac:dyDescent="0.25">
      <c r="A238">
        <v>237</v>
      </c>
      <c r="B238">
        <v>36</v>
      </c>
      <c r="C238" t="s">
        <v>23</v>
      </c>
      <c r="D238" t="s">
        <v>36</v>
      </c>
      <c r="E238" t="s">
        <v>16</v>
      </c>
      <c r="F238" t="s">
        <v>30</v>
      </c>
      <c r="G238" s="4">
        <v>16</v>
      </c>
      <c r="H238" t="s">
        <v>46</v>
      </c>
      <c r="I238" s="4">
        <v>2180</v>
      </c>
      <c r="J238" t="s">
        <v>35</v>
      </c>
      <c r="K238" t="s">
        <v>34</v>
      </c>
      <c r="L238" t="s">
        <v>21</v>
      </c>
      <c r="M238" t="s">
        <v>22</v>
      </c>
      <c r="N238">
        <v>3</v>
      </c>
    </row>
    <row r="239" spans="1:14" x14ac:dyDescent="0.25">
      <c r="A239">
        <v>238</v>
      </c>
      <c r="B239">
        <v>31</v>
      </c>
      <c r="C239" t="s">
        <v>23</v>
      </c>
      <c r="D239" t="s">
        <v>15</v>
      </c>
      <c r="E239" t="s">
        <v>16</v>
      </c>
      <c r="F239" t="s">
        <v>25</v>
      </c>
      <c r="G239" s="4">
        <v>6</v>
      </c>
      <c r="H239" t="s">
        <v>34</v>
      </c>
      <c r="I239" s="4">
        <v>1135</v>
      </c>
      <c r="J239" t="s">
        <v>27</v>
      </c>
      <c r="K239" t="s">
        <v>20</v>
      </c>
      <c r="L239" t="s">
        <v>28</v>
      </c>
      <c r="M239" t="s">
        <v>22</v>
      </c>
      <c r="N239">
        <v>2</v>
      </c>
    </row>
    <row r="240" spans="1:14" x14ac:dyDescent="0.25">
      <c r="A240">
        <v>239</v>
      </c>
      <c r="B240">
        <v>36</v>
      </c>
      <c r="C240" t="s">
        <v>29</v>
      </c>
      <c r="D240" t="s">
        <v>32</v>
      </c>
      <c r="E240" t="s">
        <v>16</v>
      </c>
      <c r="F240" t="s">
        <v>17</v>
      </c>
      <c r="G240" s="4">
        <v>25</v>
      </c>
      <c r="H240" t="s">
        <v>18</v>
      </c>
      <c r="I240" s="4">
        <v>1100</v>
      </c>
      <c r="J240" t="s">
        <v>45</v>
      </c>
      <c r="K240" t="s">
        <v>34</v>
      </c>
      <c r="L240" t="s">
        <v>28</v>
      </c>
      <c r="M240" t="s">
        <v>31</v>
      </c>
      <c r="N240">
        <v>4</v>
      </c>
    </row>
    <row r="241" spans="1:14" x14ac:dyDescent="0.25">
      <c r="A241">
        <v>240</v>
      </c>
      <c r="B241">
        <v>33</v>
      </c>
      <c r="C241" t="s">
        <v>23</v>
      </c>
      <c r="D241" t="s">
        <v>15</v>
      </c>
      <c r="E241" t="s">
        <v>24</v>
      </c>
      <c r="F241" t="s">
        <v>42</v>
      </c>
      <c r="G241" s="4">
        <v>15</v>
      </c>
      <c r="H241" t="s">
        <v>34</v>
      </c>
      <c r="I241" s="4">
        <v>2383</v>
      </c>
      <c r="J241" t="s">
        <v>19</v>
      </c>
      <c r="K241" t="s">
        <v>20</v>
      </c>
      <c r="L241" t="s">
        <v>21</v>
      </c>
      <c r="M241" t="s">
        <v>31</v>
      </c>
      <c r="N241">
        <v>1</v>
      </c>
    </row>
    <row r="242" spans="1:14" x14ac:dyDescent="0.25">
      <c r="A242">
        <v>241</v>
      </c>
      <c r="B242">
        <v>24</v>
      </c>
      <c r="C242" t="s">
        <v>29</v>
      </c>
      <c r="D242" t="s">
        <v>32</v>
      </c>
      <c r="E242" t="s">
        <v>24</v>
      </c>
      <c r="F242" t="s">
        <v>45</v>
      </c>
      <c r="G242" s="4">
        <v>20</v>
      </c>
      <c r="H242" t="s">
        <v>37</v>
      </c>
      <c r="I242" s="4">
        <v>1099</v>
      </c>
      <c r="J242" t="s">
        <v>49</v>
      </c>
      <c r="K242" t="s">
        <v>34</v>
      </c>
      <c r="L242" t="s">
        <v>21</v>
      </c>
      <c r="M242" t="s">
        <v>22</v>
      </c>
      <c r="N242">
        <v>3</v>
      </c>
    </row>
    <row r="243" spans="1:14" x14ac:dyDescent="0.25">
      <c r="A243">
        <v>242</v>
      </c>
      <c r="B243">
        <v>21</v>
      </c>
      <c r="C243" t="s">
        <v>14</v>
      </c>
      <c r="D243" t="s">
        <v>15</v>
      </c>
      <c r="E243" t="s">
        <v>39</v>
      </c>
      <c r="F243" t="s">
        <v>42</v>
      </c>
      <c r="G243" s="4">
        <v>25</v>
      </c>
      <c r="H243" t="s">
        <v>47</v>
      </c>
      <c r="I243" s="4">
        <v>1882</v>
      </c>
      <c r="J243" t="s">
        <v>45</v>
      </c>
      <c r="K243" t="s">
        <v>38</v>
      </c>
      <c r="L243" t="s">
        <v>21</v>
      </c>
      <c r="M243" t="s">
        <v>31</v>
      </c>
      <c r="N243">
        <v>1</v>
      </c>
    </row>
    <row r="244" spans="1:14" x14ac:dyDescent="0.25">
      <c r="A244">
        <v>243</v>
      </c>
      <c r="B244">
        <v>23</v>
      </c>
      <c r="C244" t="s">
        <v>29</v>
      </c>
      <c r="D244" t="s">
        <v>15</v>
      </c>
      <c r="E244" t="s">
        <v>39</v>
      </c>
      <c r="F244" t="s">
        <v>17</v>
      </c>
      <c r="G244" s="4">
        <v>13</v>
      </c>
      <c r="H244" t="s">
        <v>37</v>
      </c>
      <c r="I244" s="4">
        <v>382</v>
      </c>
      <c r="J244" t="s">
        <v>41</v>
      </c>
      <c r="K244" t="s">
        <v>20</v>
      </c>
      <c r="L244" t="s">
        <v>28</v>
      </c>
      <c r="M244" t="s">
        <v>22</v>
      </c>
      <c r="N244">
        <v>3</v>
      </c>
    </row>
    <row r="245" spans="1:14" x14ac:dyDescent="0.25">
      <c r="A245">
        <v>244</v>
      </c>
      <c r="B245">
        <v>31</v>
      </c>
      <c r="C245" t="s">
        <v>14</v>
      </c>
      <c r="D245" t="s">
        <v>15</v>
      </c>
      <c r="E245" t="s">
        <v>39</v>
      </c>
      <c r="F245" t="s">
        <v>33</v>
      </c>
      <c r="G245" s="4">
        <v>25</v>
      </c>
      <c r="H245" t="s">
        <v>37</v>
      </c>
      <c r="I245" s="4">
        <v>373</v>
      </c>
      <c r="J245" t="s">
        <v>27</v>
      </c>
      <c r="K245" t="s">
        <v>20</v>
      </c>
      <c r="L245" t="s">
        <v>21</v>
      </c>
      <c r="M245" t="s">
        <v>22</v>
      </c>
      <c r="N245">
        <v>1</v>
      </c>
    </row>
    <row r="246" spans="1:14" x14ac:dyDescent="0.25">
      <c r="A246">
        <v>245</v>
      </c>
      <c r="B246">
        <v>40</v>
      </c>
      <c r="C246" t="s">
        <v>23</v>
      </c>
      <c r="D246" t="s">
        <v>15</v>
      </c>
      <c r="E246" t="s">
        <v>39</v>
      </c>
      <c r="F246" t="s">
        <v>33</v>
      </c>
      <c r="G246" s="4">
        <v>15</v>
      </c>
      <c r="H246" t="s">
        <v>40</v>
      </c>
      <c r="I246" s="4">
        <v>493</v>
      </c>
      <c r="J246" t="s">
        <v>45</v>
      </c>
      <c r="K246" t="s">
        <v>48</v>
      </c>
      <c r="L246" t="s">
        <v>21</v>
      </c>
      <c r="M246" t="s">
        <v>22</v>
      </c>
      <c r="N246">
        <v>4</v>
      </c>
    </row>
    <row r="247" spans="1:14" x14ac:dyDescent="0.25">
      <c r="A247">
        <v>246</v>
      </c>
      <c r="B247">
        <v>28</v>
      </c>
      <c r="C247" t="s">
        <v>29</v>
      </c>
      <c r="D247" t="s">
        <v>15</v>
      </c>
      <c r="E247" t="s">
        <v>24</v>
      </c>
      <c r="F247" t="s">
        <v>17</v>
      </c>
      <c r="G247" s="4">
        <v>16</v>
      </c>
      <c r="H247" t="s">
        <v>37</v>
      </c>
      <c r="I247" s="4">
        <v>1225</v>
      </c>
      <c r="J247" t="s">
        <v>19</v>
      </c>
      <c r="K247" t="s">
        <v>48</v>
      </c>
      <c r="L247" t="s">
        <v>21</v>
      </c>
      <c r="M247" t="s">
        <v>31</v>
      </c>
      <c r="N247">
        <v>2</v>
      </c>
    </row>
    <row r="248" spans="1:14" x14ac:dyDescent="0.25">
      <c r="A248">
        <v>247</v>
      </c>
      <c r="B248">
        <v>29</v>
      </c>
      <c r="C248" t="s">
        <v>29</v>
      </c>
      <c r="D248" t="s">
        <v>36</v>
      </c>
      <c r="E248" t="s">
        <v>24</v>
      </c>
      <c r="F248" t="s">
        <v>42</v>
      </c>
      <c r="G248" s="4">
        <v>28</v>
      </c>
      <c r="H248" t="s">
        <v>40</v>
      </c>
      <c r="I248" s="4">
        <v>872</v>
      </c>
      <c r="J248" t="s">
        <v>19</v>
      </c>
      <c r="K248" t="s">
        <v>48</v>
      </c>
      <c r="L248" t="s">
        <v>21</v>
      </c>
      <c r="M248" t="s">
        <v>22</v>
      </c>
      <c r="N248">
        <v>2</v>
      </c>
    </row>
    <row r="249" spans="1:14" x14ac:dyDescent="0.25">
      <c r="A249">
        <v>248</v>
      </c>
      <c r="B249">
        <v>36</v>
      </c>
      <c r="C249" t="s">
        <v>29</v>
      </c>
      <c r="D249" t="s">
        <v>32</v>
      </c>
      <c r="E249" t="s">
        <v>16</v>
      </c>
      <c r="F249" t="s">
        <v>25</v>
      </c>
      <c r="G249" s="4">
        <v>28</v>
      </c>
      <c r="H249" t="s">
        <v>46</v>
      </c>
      <c r="I249" s="4">
        <v>1572</v>
      </c>
      <c r="J249" t="s">
        <v>19</v>
      </c>
      <c r="K249" t="s">
        <v>38</v>
      </c>
      <c r="L249" t="s">
        <v>28</v>
      </c>
      <c r="M249" t="s">
        <v>22</v>
      </c>
      <c r="N249">
        <v>3</v>
      </c>
    </row>
    <row r="250" spans="1:14" x14ac:dyDescent="0.25">
      <c r="A250">
        <v>249</v>
      </c>
      <c r="B250">
        <v>39</v>
      </c>
      <c r="C250" t="s">
        <v>23</v>
      </c>
      <c r="D250" t="s">
        <v>36</v>
      </c>
      <c r="E250" t="s">
        <v>16</v>
      </c>
      <c r="F250" t="s">
        <v>17</v>
      </c>
      <c r="G250" s="4">
        <v>14</v>
      </c>
      <c r="H250" t="s">
        <v>26</v>
      </c>
      <c r="I250" s="4">
        <v>841</v>
      </c>
      <c r="J250" t="s">
        <v>35</v>
      </c>
      <c r="K250" t="s">
        <v>48</v>
      </c>
      <c r="L250" t="s">
        <v>21</v>
      </c>
      <c r="M250" t="s">
        <v>31</v>
      </c>
      <c r="N250">
        <v>5</v>
      </c>
    </row>
    <row r="251" spans="1:14" x14ac:dyDescent="0.25">
      <c r="A251">
        <v>250</v>
      </c>
      <c r="B251">
        <v>30</v>
      </c>
      <c r="C251" t="s">
        <v>23</v>
      </c>
      <c r="D251" t="s">
        <v>36</v>
      </c>
      <c r="E251" t="s">
        <v>16</v>
      </c>
      <c r="F251" t="s">
        <v>45</v>
      </c>
      <c r="G251" s="4">
        <v>8</v>
      </c>
      <c r="H251" t="s">
        <v>47</v>
      </c>
      <c r="I251" s="4">
        <v>987</v>
      </c>
      <c r="J251" t="s">
        <v>50</v>
      </c>
      <c r="K251" t="s">
        <v>34</v>
      </c>
      <c r="L251" t="s">
        <v>21</v>
      </c>
      <c r="M251" t="s">
        <v>31</v>
      </c>
      <c r="N251">
        <v>4</v>
      </c>
    </row>
    <row r="252" spans="1:14" x14ac:dyDescent="0.25">
      <c r="A252">
        <v>251</v>
      </c>
      <c r="B252">
        <v>36</v>
      </c>
      <c r="C252" t="s">
        <v>23</v>
      </c>
      <c r="D252" t="s">
        <v>15</v>
      </c>
      <c r="E252" t="s">
        <v>39</v>
      </c>
      <c r="F252" t="s">
        <v>33</v>
      </c>
      <c r="G252" s="4">
        <v>18</v>
      </c>
      <c r="H252" t="s">
        <v>47</v>
      </c>
      <c r="I252" s="4">
        <v>1496</v>
      </c>
      <c r="J252" t="s">
        <v>19</v>
      </c>
      <c r="K252" t="s">
        <v>48</v>
      </c>
      <c r="L252" t="s">
        <v>28</v>
      </c>
      <c r="M252" t="s">
        <v>22</v>
      </c>
      <c r="N252">
        <v>5</v>
      </c>
    </row>
    <row r="253" spans="1:14" x14ac:dyDescent="0.25">
      <c r="A253">
        <v>252</v>
      </c>
      <c r="B253">
        <v>19</v>
      </c>
      <c r="C253" t="s">
        <v>29</v>
      </c>
      <c r="D253" t="s">
        <v>36</v>
      </c>
      <c r="E253" t="s">
        <v>24</v>
      </c>
      <c r="F253" t="s">
        <v>45</v>
      </c>
      <c r="G253" s="4">
        <v>6</v>
      </c>
      <c r="H253" t="s">
        <v>26</v>
      </c>
      <c r="I253" s="4">
        <v>1630</v>
      </c>
      <c r="J253" t="s">
        <v>45</v>
      </c>
      <c r="K253" t="s">
        <v>20</v>
      </c>
      <c r="L253" t="s">
        <v>21</v>
      </c>
      <c r="M253" t="s">
        <v>22</v>
      </c>
      <c r="N253">
        <v>5</v>
      </c>
    </row>
    <row r="254" spans="1:14" x14ac:dyDescent="0.25">
      <c r="A254">
        <v>253</v>
      </c>
      <c r="B254">
        <v>26</v>
      </c>
      <c r="C254" t="s">
        <v>23</v>
      </c>
      <c r="D254" t="s">
        <v>15</v>
      </c>
      <c r="E254" t="s">
        <v>16</v>
      </c>
      <c r="F254" t="s">
        <v>45</v>
      </c>
      <c r="G254" s="4">
        <v>7</v>
      </c>
      <c r="H254" t="s">
        <v>34</v>
      </c>
      <c r="I254" s="4">
        <v>1269</v>
      </c>
      <c r="J254" t="s">
        <v>45</v>
      </c>
      <c r="K254" t="s">
        <v>48</v>
      </c>
      <c r="L254" t="s">
        <v>28</v>
      </c>
      <c r="M254" t="s">
        <v>31</v>
      </c>
      <c r="N254">
        <v>1</v>
      </c>
    </row>
    <row r="255" spans="1:14" x14ac:dyDescent="0.25">
      <c r="A255">
        <v>254</v>
      </c>
      <c r="B255">
        <v>25</v>
      </c>
      <c r="C255" t="s">
        <v>29</v>
      </c>
      <c r="D255" t="s">
        <v>15</v>
      </c>
      <c r="E255" t="s">
        <v>39</v>
      </c>
      <c r="F255" t="s">
        <v>45</v>
      </c>
      <c r="G255" s="4">
        <v>6</v>
      </c>
      <c r="H255" t="s">
        <v>47</v>
      </c>
      <c r="I255" s="4">
        <v>1001</v>
      </c>
      <c r="J255" t="s">
        <v>35</v>
      </c>
      <c r="K255" t="s">
        <v>38</v>
      </c>
      <c r="L255" t="s">
        <v>21</v>
      </c>
      <c r="M255" t="s">
        <v>22</v>
      </c>
      <c r="N255">
        <v>1</v>
      </c>
    </row>
    <row r="256" spans="1:14" x14ac:dyDescent="0.25">
      <c r="A256">
        <v>255</v>
      </c>
      <c r="B256">
        <v>40</v>
      </c>
      <c r="C256" t="s">
        <v>14</v>
      </c>
      <c r="D256" t="s">
        <v>32</v>
      </c>
      <c r="E256" t="s">
        <v>39</v>
      </c>
      <c r="F256" t="s">
        <v>45</v>
      </c>
      <c r="G256" s="4">
        <v>9</v>
      </c>
      <c r="H256" t="s">
        <v>46</v>
      </c>
      <c r="I256" s="4">
        <v>2873</v>
      </c>
      <c r="J256" t="s">
        <v>44</v>
      </c>
      <c r="K256" t="s">
        <v>34</v>
      </c>
      <c r="L256" t="s">
        <v>21</v>
      </c>
      <c r="M256" t="s">
        <v>31</v>
      </c>
      <c r="N256">
        <v>1</v>
      </c>
    </row>
    <row r="257" spans="1:14" x14ac:dyDescent="0.25">
      <c r="A257">
        <v>256</v>
      </c>
      <c r="B257">
        <v>21</v>
      </c>
      <c r="C257" t="s">
        <v>29</v>
      </c>
      <c r="D257" t="s">
        <v>32</v>
      </c>
      <c r="E257" t="s">
        <v>24</v>
      </c>
      <c r="F257" t="s">
        <v>33</v>
      </c>
      <c r="G257" s="4">
        <v>29</v>
      </c>
      <c r="H257" t="s">
        <v>46</v>
      </c>
      <c r="I257" s="4">
        <v>120</v>
      </c>
      <c r="J257" t="s">
        <v>19</v>
      </c>
      <c r="K257" t="s">
        <v>20</v>
      </c>
      <c r="L257" t="s">
        <v>28</v>
      </c>
      <c r="M257" t="s">
        <v>31</v>
      </c>
      <c r="N257">
        <v>3</v>
      </c>
    </row>
    <row r="258" spans="1:14" x14ac:dyDescent="0.25">
      <c r="A258">
        <v>257</v>
      </c>
      <c r="B258">
        <v>19</v>
      </c>
      <c r="C258" t="s">
        <v>29</v>
      </c>
      <c r="D258" t="s">
        <v>15</v>
      </c>
      <c r="E258" t="s">
        <v>39</v>
      </c>
      <c r="F258" t="s">
        <v>33</v>
      </c>
      <c r="G258" s="4">
        <v>20</v>
      </c>
      <c r="H258" t="s">
        <v>18</v>
      </c>
      <c r="I258" s="4">
        <v>2321</v>
      </c>
      <c r="J258" t="s">
        <v>27</v>
      </c>
      <c r="K258" t="s">
        <v>48</v>
      </c>
      <c r="L258" t="s">
        <v>21</v>
      </c>
      <c r="M258" t="s">
        <v>22</v>
      </c>
      <c r="N258">
        <v>2</v>
      </c>
    </row>
    <row r="259" spans="1:14" x14ac:dyDescent="0.25">
      <c r="A259">
        <v>258</v>
      </c>
      <c r="B259">
        <v>25</v>
      </c>
      <c r="C259" t="s">
        <v>29</v>
      </c>
      <c r="D259" t="s">
        <v>15</v>
      </c>
      <c r="E259" t="s">
        <v>16</v>
      </c>
      <c r="F259" t="s">
        <v>33</v>
      </c>
      <c r="G259" s="4">
        <v>6</v>
      </c>
      <c r="H259" t="s">
        <v>26</v>
      </c>
      <c r="I259" s="4">
        <v>1932</v>
      </c>
      <c r="J259" t="s">
        <v>27</v>
      </c>
      <c r="K259" t="s">
        <v>34</v>
      </c>
      <c r="L259" t="s">
        <v>21</v>
      </c>
      <c r="M259" t="s">
        <v>31</v>
      </c>
      <c r="N259">
        <v>3</v>
      </c>
    </row>
    <row r="260" spans="1:14" x14ac:dyDescent="0.25">
      <c r="A260">
        <v>259</v>
      </c>
      <c r="B260">
        <v>28</v>
      </c>
      <c r="C260" t="s">
        <v>29</v>
      </c>
      <c r="D260" t="s">
        <v>15</v>
      </c>
      <c r="E260" t="s">
        <v>24</v>
      </c>
      <c r="F260" t="s">
        <v>17</v>
      </c>
      <c r="G260" s="4">
        <v>13</v>
      </c>
      <c r="H260" t="s">
        <v>47</v>
      </c>
      <c r="I260" s="4">
        <v>319</v>
      </c>
      <c r="J260" t="s">
        <v>44</v>
      </c>
      <c r="K260" t="s">
        <v>38</v>
      </c>
      <c r="L260" t="s">
        <v>21</v>
      </c>
      <c r="M260" t="s">
        <v>31</v>
      </c>
      <c r="N260">
        <v>5</v>
      </c>
    </row>
    <row r="261" spans="1:14" x14ac:dyDescent="0.25">
      <c r="A261">
        <v>260</v>
      </c>
      <c r="B261">
        <v>20</v>
      </c>
      <c r="C261" t="s">
        <v>29</v>
      </c>
      <c r="D261" t="s">
        <v>15</v>
      </c>
      <c r="E261" t="s">
        <v>24</v>
      </c>
      <c r="F261" t="s">
        <v>42</v>
      </c>
      <c r="G261" s="4">
        <v>19</v>
      </c>
      <c r="H261" t="s">
        <v>47</v>
      </c>
      <c r="I261" s="4">
        <v>1156</v>
      </c>
      <c r="J261" t="s">
        <v>50</v>
      </c>
      <c r="K261" t="s">
        <v>38</v>
      </c>
      <c r="L261" t="s">
        <v>28</v>
      </c>
      <c r="M261" t="s">
        <v>31</v>
      </c>
      <c r="N261">
        <v>3</v>
      </c>
    </row>
    <row r="262" spans="1:14" x14ac:dyDescent="0.25">
      <c r="A262">
        <v>261</v>
      </c>
      <c r="B262">
        <v>37</v>
      </c>
      <c r="C262" t="s">
        <v>23</v>
      </c>
      <c r="D262" t="s">
        <v>32</v>
      </c>
      <c r="E262" t="s">
        <v>16</v>
      </c>
      <c r="F262" t="s">
        <v>17</v>
      </c>
      <c r="G262" s="4">
        <v>12</v>
      </c>
      <c r="H262" t="s">
        <v>40</v>
      </c>
      <c r="I262" s="4">
        <v>1900</v>
      </c>
      <c r="J262" t="s">
        <v>44</v>
      </c>
      <c r="K262" t="s">
        <v>48</v>
      </c>
      <c r="L262" t="s">
        <v>28</v>
      </c>
      <c r="M262" t="s">
        <v>22</v>
      </c>
      <c r="N262">
        <v>3</v>
      </c>
    </row>
    <row r="263" spans="1:14" x14ac:dyDescent="0.25">
      <c r="A263">
        <v>262</v>
      </c>
      <c r="B263">
        <v>25</v>
      </c>
      <c r="C263" t="s">
        <v>29</v>
      </c>
      <c r="D263" t="s">
        <v>15</v>
      </c>
      <c r="E263" t="s">
        <v>24</v>
      </c>
      <c r="F263" t="s">
        <v>42</v>
      </c>
      <c r="G263" s="4">
        <v>22</v>
      </c>
      <c r="H263" t="s">
        <v>46</v>
      </c>
      <c r="I263" s="4">
        <v>1418</v>
      </c>
      <c r="J263" t="s">
        <v>19</v>
      </c>
      <c r="K263" t="s">
        <v>38</v>
      </c>
      <c r="L263" t="s">
        <v>21</v>
      </c>
      <c r="M263" t="s">
        <v>31</v>
      </c>
      <c r="N263">
        <v>1</v>
      </c>
    </row>
    <row r="264" spans="1:14" x14ac:dyDescent="0.25">
      <c r="A264">
        <v>263</v>
      </c>
      <c r="B264">
        <v>33</v>
      </c>
      <c r="C264" t="s">
        <v>14</v>
      </c>
      <c r="D264" t="s">
        <v>15</v>
      </c>
      <c r="E264" t="s">
        <v>16</v>
      </c>
      <c r="F264" t="s">
        <v>45</v>
      </c>
      <c r="G264" s="4">
        <v>6</v>
      </c>
      <c r="H264" t="s">
        <v>26</v>
      </c>
      <c r="I264" s="4">
        <v>583</v>
      </c>
      <c r="J264" t="s">
        <v>50</v>
      </c>
      <c r="K264" t="s">
        <v>20</v>
      </c>
      <c r="L264" t="s">
        <v>21</v>
      </c>
      <c r="M264" t="s">
        <v>22</v>
      </c>
      <c r="N264">
        <v>3</v>
      </c>
    </row>
    <row r="265" spans="1:14" x14ac:dyDescent="0.25">
      <c r="A265">
        <v>264</v>
      </c>
      <c r="B265">
        <v>34</v>
      </c>
      <c r="C265" t="s">
        <v>14</v>
      </c>
      <c r="D265" t="s">
        <v>36</v>
      </c>
      <c r="E265" t="s">
        <v>24</v>
      </c>
      <c r="F265" t="s">
        <v>33</v>
      </c>
      <c r="G265" s="4">
        <v>9</v>
      </c>
      <c r="H265" t="s">
        <v>26</v>
      </c>
      <c r="I265" s="4">
        <v>2610</v>
      </c>
      <c r="J265" t="s">
        <v>44</v>
      </c>
      <c r="K265" t="s">
        <v>38</v>
      </c>
      <c r="L265" t="s">
        <v>28</v>
      </c>
      <c r="M265" t="s">
        <v>31</v>
      </c>
      <c r="N265">
        <v>4</v>
      </c>
    </row>
    <row r="266" spans="1:14" x14ac:dyDescent="0.25">
      <c r="A266">
        <v>265</v>
      </c>
      <c r="B266">
        <v>28</v>
      </c>
      <c r="C266" t="s">
        <v>29</v>
      </c>
      <c r="D266" t="s">
        <v>32</v>
      </c>
      <c r="E266" t="s">
        <v>39</v>
      </c>
      <c r="F266" t="s">
        <v>25</v>
      </c>
      <c r="G266" s="4">
        <v>30</v>
      </c>
      <c r="H266" t="s">
        <v>18</v>
      </c>
      <c r="I266" s="4">
        <v>1609</v>
      </c>
      <c r="J266" t="s">
        <v>27</v>
      </c>
      <c r="K266" t="s">
        <v>38</v>
      </c>
      <c r="L266" t="s">
        <v>21</v>
      </c>
      <c r="M266" t="s">
        <v>22</v>
      </c>
      <c r="N266">
        <v>3</v>
      </c>
    </row>
    <row r="267" spans="1:14" x14ac:dyDescent="0.25">
      <c r="A267">
        <v>266</v>
      </c>
      <c r="B267">
        <v>21</v>
      </c>
      <c r="C267" t="s">
        <v>29</v>
      </c>
      <c r="D267" t="s">
        <v>32</v>
      </c>
      <c r="E267" t="s">
        <v>16</v>
      </c>
      <c r="F267" t="s">
        <v>45</v>
      </c>
      <c r="G267" s="4">
        <v>10</v>
      </c>
      <c r="H267" t="s">
        <v>34</v>
      </c>
      <c r="I267" s="4">
        <v>1841</v>
      </c>
      <c r="J267" t="s">
        <v>27</v>
      </c>
      <c r="K267" t="s">
        <v>20</v>
      </c>
      <c r="L267" t="s">
        <v>28</v>
      </c>
      <c r="M267" t="s">
        <v>31</v>
      </c>
      <c r="N267">
        <v>4</v>
      </c>
    </row>
    <row r="268" spans="1:14" x14ac:dyDescent="0.25">
      <c r="A268">
        <v>267</v>
      </c>
      <c r="B268">
        <v>26</v>
      </c>
      <c r="C268" t="s">
        <v>23</v>
      </c>
      <c r="D268" t="s">
        <v>32</v>
      </c>
      <c r="E268" t="s">
        <v>24</v>
      </c>
      <c r="F268" t="s">
        <v>17</v>
      </c>
      <c r="G268" s="4">
        <v>8</v>
      </c>
      <c r="H268" t="s">
        <v>47</v>
      </c>
      <c r="I268" s="4">
        <v>370</v>
      </c>
      <c r="J268" t="s">
        <v>27</v>
      </c>
      <c r="K268" t="s">
        <v>34</v>
      </c>
      <c r="L268" t="s">
        <v>21</v>
      </c>
      <c r="M268" t="s">
        <v>22</v>
      </c>
      <c r="N268">
        <v>2</v>
      </c>
    </row>
    <row r="269" spans="1:14" x14ac:dyDescent="0.25">
      <c r="A269">
        <v>268</v>
      </c>
      <c r="B269">
        <v>40</v>
      </c>
      <c r="C269" t="s">
        <v>23</v>
      </c>
      <c r="D269" t="s">
        <v>15</v>
      </c>
      <c r="E269" t="s">
        <v>24</v>
      </c>
      <c r="F269" t="s">
        <v>30</v>
      </c>
      <c r="G269" s="4">
        <v>12</v>
      </c>
      <c r="H269" t="s">
        <v>46</v>
      </c>
      <c r="I269" s="4">
        <v>1457</v>
      </c>
      <c r="J269" t="s">
        <v>44</v>
      </c>
      <c r="K269" t="s">
        <v>48</v>
      </c>
      <c r="L269" t="s">
        <v>28</v>
      </c>
      <c r="M269" t="s">
        <v>31</v>
      </c>
      <c r="N269">
        <v>4</v>
      </c>
    </row>
    <row r="270" spans="1:14" x14ac:dyDescent="0.25">
      <c r="A270">
        <v>269</v>
      </c>
      <c r="B270">
        <v>35</v>
      </c>
      <c r="C270" t="s">
        <v>14</v>
      </c>
      <c r="D270" t="s">
        <v>32</v>
      </c>
      <c r="E270" t="s">
        <v>16</v>
      </c>
      <c r="F270" t="s">
        <v>25</v>
      </c>
      <c r="G270" s="4">
        <v>28</v>
      </c>
      <c r="H270" t="s">
        <v>18</v>
      </c>
      <c r="I270" s="4">
        <v>2253</v>
      </c>
      <c r="J270" t="s">
        <v>41</v>
      </c>
      <c r="K270" t="s">
        <v>48</v>
      </c>
      <c r="L270" t="s">
        <v>21</v>
      </c>
      <c r="M270" t="s">
        <v>22</v>
      </c>
      <c r="N270">
        <v>2</v>
      </c>
    </row>
    <row r="271" spans="1:14" x14ac:dyDescent="0.25">
      <c r="A271">
        <v>270</v>
      </c>
      <c r="B271">
        <v>24</v>
      </c>
      <c r="C271" t="s">
        <v>23</v>
      </c>
      <c r="D271" t="s">
        <v>36</v>
      </c>
      <c r="E271" t="s">
        <v>39</v>
      </c>
      <c r="F271" t="s">
        <v>33</v>
      </c>
      <c r="G271" s="4">
        <v>17</v>
      </c>
      <c r="H271" t="s">
        <v>47</v>
      </c>
      <c r="I271" s="4">
        <v>1524</v>
      </c>
      <c r="J271" t="s">
        <v>19</v>
      </c>
      <c r="K271" t="s">
        <v>38</v>
      </c>
      <c r="L271" t="s">
        <v>28</v>
      </c>
      <c r="M271" t="s">
        <v>22</v>
      </c>
      <c r="N271">
        <v>1</v>
      </c>
    </row>
    <row r="272" spans="1:14" x14ac:dyDescent="0.25">
      <c r="A272">
        <v>271</v>
      </c>
      <c r="B272">
        <v>20</v>
      </c>
      <c r="C272" t="s">
        <v>14</v>
      </c>
      <c r="D272" t="s">
        <v>32</v>
      </c>
      <c r="E272" t="s">
        <v>16</v>
      </c>
      <c r="F272" t="s">
        <v>25</v>
      </c>
      <c r="G272" s="4">
        <v>30</v>
      </c>
      <c r="H272" t="s">
        <v>26</v>
      </c>
      <c r="I272" s="4">
        <v>1358</v>
      </c>
      <c r="J272" t="s">
        <v>45</v>
      </c>
      <c r="K272" t="s">
        <v>20</v>
      </c>
      <c r="L272" t="s">
        <v>21</v>
      </c>
      <c r="M272" t="s">
        <v>31</v>
      </c>
      <c r="N272">
        <v>1</v>
      </c>
    </row>
    <row r="273" spans="1:14" x14ac:dyDescent="0.25">
      <c r="A273">
        <v>272</v>
      </c>
      <c r="B273">
        <v>39</v>
      </c>
      <c r="C273" t="s">
        <v>14</v>
      </c>
      <c r="D273" t="s">
        <v>15</v>
      </c>
      <c r="E273" t="s">
        <v>39</v>
      </c>
      <c r="F273" t="s">
        <v>30</v>
      </c>
      <c r="G273" s="4">
        <v>18</v>
      </c>
      <c r="H273" t="s">
        <v>43</v>
      </c>
      <c r="I273" s="4">
        <v>707</v>
      </c>
      <c r="J273" t="s">
        <v>44</v>
      </c>
      <c r="K273" t="s">
        <v>48</v>
      </c>
      <c r="L273" t="s">
        <v>21</v>
      </c>
      <c r="M273" t="s">
        <v>31</v>
      </c>
      <c r="N273">
        <v>3</v>
      </c>
    </row>
    <row r="274" spans="1:14" x14ac:dyDescent="0.25">
      <c r="A274">
        <v>273</v>
      </c>
      <c r="B274">
        <v>33</v>
      </c>
      <c r="C274" t="s">
        <v>14</v>
      </c>
      <c r="D274" t="s">
        <v>15</v>
      </c>
      <c r="E274" t="s">
        <v>39</v>
      </c>
      <c r="F274" t="s">
        <v>42</v>
      </c>
      <c r="G274" s="4">
        <v>18</v>
      </c>
      <c r="H274" t="s">
        <v>37</v>
      </c>
      <c r="I274" s="4">
        <v>2255</v>
      </c>
      <c r="J274" t="s">
        <v>45</v>
      </c>
      <c r="K274" t="s">
        <v>38</v>
      </c>
      <c r="L274" t="s">
        <v>21</v>
      </c>
      <c r="M274" t="s">
        <v>22</v>
      </c>
      <c r="N274">
        <v>4</v>
      </c>
    </row>
    <row r="275" spans="1:14" x14ac:dyDescent="0.25">
      <c r="A275">
        <v>274</v>
      </c>
      <c r="B275">
        <v>30</v>
      </c>
      <c r="C275" t="s">
        <v>29</v>
      </c>
      <c r="D275" t="s">
        <v>36</v>
      </c>
      <c r="E275" t="s">
        <v>39</v>
      </c>
      <c r="F275" t="s">
        <v>30</v>
      </c>
      <c r="G275" s="4">
        <v>30</v>
      </c>
      <c r="H275" t="s">
        <v>34</v>
      </c>
      <c r="I275" s="4">
        <v>2921</v>
      </c>
      <c r="J275" t="s">
        <v>45</v>
      </c>
      <c r="K275" t="s">
        <v>34</v>
      </c>
      <c r="L275" t="s">
        <v>21</v>
      </c>
      <c r="M275" t="s">
        <v>22</v>
      </c>
      <c r="N275">
        <v>3</v>
      </c>
    </row>
    <row r="276" spans="1:14" x14ac:dyDescent="0.25">
      <c r="A276">
        <v>275</v>
      </c>
      <c r="B276">
        <v>28</v>
      </c>
      <c r="C276" t="s">
        <v>29</v>
      </c>
      <c r="D276" t="s">
        <v>15</v>
      </c>
      <c r="E276" t="s">
        <v>39</v>
      </c>
      <c r="F276" t="s">
        <v>45</v>
      </c>
      <c r="G276" s="4">
        <v>24</v>
      </c>
      <c r="H276" t="s">
        <v>34</v>
      </c>
      <c r="I276" s="4">
        <v>897</v>
      </c>
      <c r="J276" t="s">
        <v>27</v>
      </c>
      <c r="K276" t="s">
        <v>38</v>
      </c>
      <c r="L276" t="s">
        <v>21</v>
      </c>
      <c r="M276" t="s">
        <v>22</v>
      </c>
      <c r="N276">
        <v>1</v>
      </c>
    </row>
    <row r="277" spans="1:14" x14ac:dyDescent="0.25">
      <c r="A277">
        <v>276</v>
      </c>
      <c r="B277">
        <v>39</v>
      </c>
      <c r="C277" t="s">
        <v>23</v>
      </c>
      <c r="D277" t="s">
        <v>15</v>
      </c>
      <c r="E277" t="s">
        <v>16</v>
      </c>
      <c r="F277" t="s">
        <v>45</v>
      </c>
      <c r="G277" s="4">
        <v>12</v>
      </c>
      <c r="H277" t="s">
        <v>26</v>
      </c>
      <c r="I277" s="4">
        <v>1091</v>
      </c>
      <c r="J277" t="s">
        <v>50</v>
      </c>
      <c r="K277" t="s">
        <v>38</v>
      </c>
      <c r="L277" t="s">
        <v>21</v>
      </c>
      <c r="M277" t="s">
        <v>22</v>
      </c>
      <c r="N277">
        <v>5</v>
      </c>
    </row>
    <row r="278" spans="1:14" x14ac:dyDescent="0.25">
      <c r="A278">
        <v>277</v>
      </c>
      <c r="B278">
        <v>36</v>
      </c>
      <c r="C278" t="s">
        <v>23</v>
      </c>
      <c r="D278" t="s">
        <v>15</v>
      </c>
      <c r="E278" t="s">
        <v>24</v>
      </c>
      <c r="F278" t="s">
        <v>17</v>
      </c>
      <c r="G278" s="4">
        <v>15</v>
      </c>
      <c r="H278" t="s">
        <v>34</v>
      </c>
      <c r="I278" s="4">
        <v>2857</v>
      </c>
      <c r="J278" t="s">
        <v>44</v>
      </c>
      <c r="K278" t="s">
        <v>38</v>
      </c>
      <c r="L278" t="s">
        <v>28</v>
      </c>
      <c r="M278" t="s">
        <v>31</v>
      </c>
      <c r="N278">
        <v>3</v>
      </c>
    </row>
    <row r="279" spans="1:14" x14ac:dyDescent="0.25">
      <c r="A279">
        <v>278</v>
      </c>
      <c r="B279">
        <v>23</v>
      </c>
      <c r="C279" t="s">
        <v>14</v>
      </c>
      <c r="D279" t="s">
        <v>15</v>
      </c>
      <c r="E279" t="s">
        <v>24</v>
      </c>
      <c r="F279" t="s">
        <v>25</v>
      </c>
      <c r="G279" s="4">
        <v>20</v>
      </c>
      <c r="H279" t="s">
        <v>47</v>
      </c>
      <c r="I279" s="4">
        <v>155</v>
      </c>
      <c r="J279" t="s">
        <v>49</v>
      </c>
      <c r="K279" t="s">
        <v>48</v>
      </c>
      <c r="L279" t="s">
        <v>28</v>
      </c>
      <c r="M279" t="s">
        <v>22</v>
      </c>
      <c r="N279">
        <v>1</v>
      </c>
    </row>
    <row r="280" spans="1:14" x14ac:dyDescent="0.25">
      <c r="A280">
        <v>279</v>
      </c>
      <c r="B280">
        <v>22</v>
      </c>
      <c r="C280" t="s">
        <v>29</v>
      </c>
      <c r="D280" t="s">
        <v>15</v>
      </c>
      <c r="E280" t="s">
        <v>16</v>
      </c>
      <c r="F280" t="s">
        <v>25</v>
      </c>
      <c r="G280" s="4">
        <v>15</v>
      </c>
      <c r="H280" t="s">
        <v>37</v>
      </c>
      <c r="I280" s="4">
        <v>2936</v>
      </c>
      <c r="J280" t="s">
        <v>19</v>
      </c>
      <c r="K280" t="s">
        <v>34</v>
      </c>
      <c r="L280" t="s">
        <v>21</v>
      </c>
      <c r="M280" t="s">
        <v>31</v>
      </c>
      <c r="N280">
        <v>2</v>
      </c>
    </row>
    <row r="281" spans="1:14" x14ac:dyDescent="0.25">
      <c r="A281">
        <v>280</v>
      </c>
      <c r="B281">
        <v>40</v>
      </c>
      <c r="C281" t="s">
        <v>14</v>
      </c>
      <c r="D281" t="s">
        <v>32</v>
      </c>
      <c r="E281" t="s">
        <v>39</v>
      </c>
      <c r="F281" t="s">
        <v>30</v>
      </c>
      <c r="G281" s="4">
        <v>26</v>
      </c>
      <c r="H281" t="s">
        <v>37</v>
      </c>
      <c r="I281" s="4">
        <v>1620</v>
      </c>
      <c r="J281" t="s">
        <v>44</v>
      </c>
      <c r="K281" t="s">
        <v>20</v>
      </c>
      <c r="L281" t="s">
        <v>28</v>
      </c>
      <c r="M281" t="s">
        <v>31</v>
      </c>
      <c r="N281">
        <v>5</v>
      </c>
    </row>
    <row r="282" spans="1:14" x14ac:dyDescent="0.25">
      <c r="A282">
        <v>281</v>
      </c>
      <c r="B282">
        <v>23</v>
      </c>
      <c r="C282" t="s">
        <v>29</v>
      </c>
      <c r="D282" t="s">
        <v>15</v>
      </c>
      <c r="E282" t="s">
        <v>24</v>
      </c>
      <c r="F282" t="s">
        <v>45</v>
      </c>
      <c r="G282" s="4">
        <v>27</v>
      </c>
      <c r="H282" t="s">
        <v>37</v>
      </c>
      <c r="I282" s="4">
        <v>2301</v>
      </c>
      <c r="J282" t="s">
        <v>45</v>
      </c>
      <c r="K282" t="s">
        <v>34</v>
      </c>
      <c r="L282" t="s">
        <v>28</v>
      </c>
      <c r="M282" t="s">
        <v>22</v>
      </c>
      <c r="N282">
        <v>5</v>
      </c>
    </row>
    <row r="283" spans="1:14" x14ac:dyDescent="0.25">
      <c r="A283">
        <v>282</v>
      </c>
      <c r="B283">
        <v>23</v>
      </c>
      <c r="C283" t="s">
        <v>29</v>
      </c>
      <c r="D283" t="s">
        <v>36</v>
      </c>
      <c r="E283" t="s">
        <v>16</v>
      </c>
      <c r="F283" t="s">
        <v>25</v>
      </c>
      <c r="G283" s="4">
        <v>28</v>
      </c>
      <c r="H283" t="s">
        <v>34</v>
      </c>
      <c r="I283" s="4">
        <v>7</v>
      </c>
      <c r="J283" t="s">
        <v>27</v>
      </c>
      <c r="K283" t="s">
        <v>48</v>
      </c>
      <c r="L283" t="s">
        <v>28</v>
      </c>
      <c r="M283" t="s">
        <v>22</v>
      </c>
      <c r="N283">
        <v>5</v>
      </c>
    </row>
    <row r="284" spans="1:14" x14ac:dyDescent="0.25">
      <c r="A284">
        <v>283</v>
      </c>
      <c r="B284">
        <v>28</v>
      </c>
      <c r="C284" t="s">
        <v>29</v>
      </c>
      <c r="D284" t="s">
        <v>32</v>
      </c>
      <c r="E284" t="s">
        <v>16</v>
      </c>
      <c r="F284" t="s">
        <v>17</v>
      </c>
      <c r="G284" s="4">
        <v>28</v>
      </c>
      <c r="H284" t="s">
        <v>18</v>
      </c>
      <c r="I284" s="4">
        <v>318</v>
      </c>
      <c r="J284" t="s">
        <v>50</v>
      </c>
      <c r="K284" t="s">
        <v>20</v>
      </c>
      <c r="L284" t="s">
        <v>21</v>
      </c>
      <c r="M284" t="s">
        <v>31</v>
      </c>
      <c r="N284">
        <v>2</v>
      </c>
    </row>
    <row r="285" spans="1:14" x14ac:dyDescent="0.25">
      <c r="A285">
        <v>284</v>
      </c>
      <c r="B285">
        <v>24</v>
      </c>
      <c r="C285" t="s">
        <v>29</v>
      </c>
      <c r="D285" t="s">
        <v>32</v>
      </c>
      <c r="E285" t="s">
        <v>16</v>
      </c>
      <c r="F285" t="s">
        <v>17</v>
      </c>
      <c r="G285" s="4">
        <v>12</v>
      </c>
      <c r="H285" t="s">
        <v>47</v>
      </c>
      <c r="I285" s="4">
        <v>2839</v>
      </c>
      <c r="J285" t="s">
        <v>41</v>
      </c>
      <c r="K285" t="s">
        <v>20</v>
      </c>
      <c r="L285" t="s">
        <v>28</v>
      </c>
      <c r="M285" t="s">
        <v>31</v>
      </c>
      <c r="N285">
        <v>1</v>
      </c>
    </row>
    <row r="286" spans="1:14" x14ac:dyDescent="0.25">
      <c r="A286">
        <v>285</v>
      </c>
      <c r="B286">
        <v>23</v>
      </c>
      <c r="C286" t="s">
        <v>29</v>
      </c>
      <c r="D286" t="s">
        <v>36</v>
      </c>
      <c r="E286" t="s">
        <v>39</v>
      </c>
      <c r="F286" t="s">
        <v>33</v>
      </c>
      <c r="G286" s="4">
        <v>18</v>
      </c>
      <c r="H286" t="s">
        <v>43</v>
      </c>
      <c r="I286" s="4">
        <v>2019</v>
      </c>
      <c r="J286" t="s">
        <v>27</v>
      </c>
      <c r="K286" t="s">
        <v>38</v>
      </c>
      <c r="L286" t="s">
        <v>28</v>
      </c>
      <c r="M286" t="s">
        <v>22</v>
      </c>
      <c r="N286">
        <v>4</v>
      </c>
    </row>
    <row r="287" spans="1:14" x14ac:dyDescent="0.25">
      <c r="A287">
        <v>286</v>
      </c>
      <c r="B287">
        <v>19</v>
      </c>
      <c r="C287" t="s">
        <v>29</v>
      </c>
      <c r="D287" t="s">
        <v>15</v>
      </c>
      <c r="E287" t="s">
        <v>16</v>
      </c>
      <c r="F287" t="s">
        <v>30</v>
      </c>
      <c r="G287" s="4">
        <v>14</v>
      </c>
      <c r="H287" t="s">
        <v>37</v>
      </c>
      <c r="I287" s="4">
        <v>82</v>
      </c>
      <c r="J287" t="s">
        <v>45</v>
      </c>
      <c r="K287" t="s">
        <v>38</v>
      </c>
      <c r="L287" t="s">
        <v>21</v>
      </c>
      <c r="M287" t="s">
        <v>22</v>
      </c>
      <c r="N287">
        <v>3</v>
      </c>
    </row>
    <row r="288" spans="1:14" x14ac:dyDescent="0.25">
      <c r="A288">
        <v>287</v>
      </c>
      <c r="B288">
        <v>28</v>
      </c>
      <c r="C288" t="s">
        <v>23</v>
      </c>
      <c r="D288" t="s">
        <v>15</v>
      </c>
      <c r="E288" t="s">
        <v>39</v>
      </c>
      <c r="F288" t="s">
        <v>17</v>
      </c>
      <c r="G288" s="4">
        <v>24</v>
      </c>
      <c r="H288" t="s">
        <v>37</v>
      </c>
      <c r="I288" s="4">
        <v>2513</v>
      </c>
      <c r="J288" t="s">
        <v>45</v>
      </c>
      <c r="K288" t="s">
        <v>38</v>
      </c>
      <c r="L288" t="s">
        <v>21</v>
      </c>
      <c r="M288" t="s">
        <v>22</v>
      </c>
      <c r="N288">
        <v>4</v>
      </c>
    </row>
    <row r="289" spans="1:14" x14ac:dyDescent="0.25">
      <c r="A289">
        <v>288</v>
      </c>
      <c r="B289">
        <v>28</v>
      </c>
      <c r="C289" t="s">
        <v>23</v>
      </c>
      <c r="D289" t="s">
        <v>36</v>
      </c>
      <c r="E289" t="s">
        <v>24</v>
      </c>
      <c r="F289" t="s">
        <v>17</v>
      </c>
      <c r="G289" s="4">
        <v>11</v>
      </c>
      <c r="H289" t="s">
        <v>46</v>
      </c>
      <c r="I289" s="4">
        <v>778</v>
      </c>
      <c r="J289" t="s">
        <v>35</v>
      </c>
      <c r="K289" t="s">
        <v>34</v>
      </c>
      <c r="L289" t="s">
        <v>21</v>
      </c>
      <c r="M289" t="s">
        <v>22</v>
      </c>
      <c r="N289">
        <v>4</v>
      </c>
    </row>
    <row r="290" spans="1:14" x14ac:dyDescent="0.25">
      <c r="A290">
        <v>289</v>
      </c>
      <c r="B290">
        <v>19</v>
      </c>
      <c r="C290" t="s">
        <v>29</v>
      </c>
      <c r="D290" t="s">
        <v>15</v>
      </c>
      <c r="E290" t="s">
        <v>16</v>
      </c>
      <c r="F290" t="s">
        <v>30</v>
      </c>
      <c r="G290" s="4">
        <v>17</v>
      </c>
      <c r="H290" t="s">
        <v>47</v>
      </c>
      <c r="I290" s="4">
        <v>2341</v>
      </c>
      <c r="J290" t="s">
        <v>45</v>
      </c>
      <c r="K290" t="s">
        <v>48</v>
      </c>
      <c r="L290" t="s">
        <v>28</v>
      </c>
      <c r="M290" t="s">
        <v>31</v>
      </c>
      <c r="N290">
        <v>5</v>
      </c>
    </row>
    <row r="291" spans="1:14" x14ac:dyDescent="0.25">
      <c r="A291">
        <v>290</v>
      </c>
      <c r="B291">
        <v>24</v>
      </c>
      <c r="C291" t="s">
        <v>14</v>
      </c>
      <c r="D291" t="s">
        <v>36</v>
      </c>
      <c r="E291" t="s">
        <v>39</v>
      </c>
      <c r="F291" t="s">
        <v>33</v>
      </c>
      <c r="G291" s="4">
        <v>8</v>
      </c>
      <c r="H291" t="s">
        <v>43</v>
      </c>
      <c r="I291" s="4">
        <v>105</v>
      </c>
      <c r="J291" t="s">
        <v>19</v>
      </c>
      <c r="K291" t="s">
        <v>34</v>
      </c>
      <c r="L291" t="s">
        <v>28</v>
      </c>
      <c r="M291" t="s">
        <v>31</v>
      </c>
      <c r="N291">
        <v>2</v>
      </c>
    </row>
    <row r="292" spans="1:14" x14ac:dyDescent="0.25">
      <c r="A292">
        <v>291</v>
      </c>
      <c r="B292">
        <v>33</v>
      </c>
      <c r="C292" t="s">
        <v>23</v>
      </c>
      <c r="D292" t="s">
        <v>36</v>
      </c>
      <c r="E292" t="s">
        <v>39</v>
      </c>
      <c r="F292" t="s">
        <v>25</v>
      </c>
      <c r="G292" s="4">
        <v>26</v>
      </c>
      <c r="H292" t="s">
        <v>34</v>
      </c>
      <c r="I292" s="4">
        <v>1085</v>
      </c>
      <c r="J292" t="s">
        <v>45</v>
      </c>
      <c r="K292" t="s">
        <v>34</v>
      </c>
      <c r="L292" t="s">
        <v>21</v>
      </c>
      <c r="M292" t="s">
        <v>31</v>
      </c>
      <c r="N292">
        <v>1</v>
      </c>
    </row>
    <row r="293" spans="1:14" x14ac:dyDescent="0.25">
      <c r="A293">
        <v>292</v>
      </c>
      <c r="B293">
        <v>19</v>
      </c>
      <c r="C293" t="s">
        <v>29</v>
      </c>
      <c r="D293" t="s">
        <v>15</v>
      </c>
      <c r="E293" t="s">
        <v>39</v>
      </c>
      <c r="F293" t="s">
        <v>45</v>
      </c>
      <c r="G293" s="4">
        <v>13</v>
      </c>
      <c r="H293" t="s">
        <v>47</v>
      </c>
      <c r="I293" s="4">
        <v>1801</v>
      </c>
      <c r="J293" t="s">
        <v>44</v>
      </c>
      <c r="K293" t="s">
        <v>48</v>
      </c>
      <c r="L293" t="s">
        <v>21</v>
      </c>
      <c r="M293" t="s">
        <v>31</v>
      </c>
      <c r="N293">
        <v>4</v>
      </c>
    </row>
    <row r="294" spans="1:14" x14ac:dyDescent="0.25">
      <c r="A294">
        <v>293</v>
      </c>
      <c r="B294">
        <v>35</v>
      </c>
      <c r="C294" t="s">
        <v>23</v>
      </c>
      <c r="D294" t="s">
        <v>15</v>
      </c>
      <c r="E294" t="s">
        <v>39</v>
      </c>
      <c r="F294" t="s">
        <v>45</v>
      </c>
      <c r="G294" s="4">
        <v>18</v>
      </c>
      <c r="H294" t="s">
        <v>26</v>
      </c>
      <c r="I294" s="4">
        <v>2415</v>
      </c>
      <c r="J294" t="s">
        <v>49</v>
      </c>
      <c r="K294" t="s">
        <v>38</v>
      </c>
      <c r="L294" t="s">
        <v>28</v>
      </c>
      <c r="M294" t="s">
        <v>31</v>
      </c>
      <c r="N294">
        <v>2</v>
      </c>
    </row>
    <row r="295" spans="1:14" x14ac:dyDescent="0.25">
      <c r="A295">
        <v>294</v>
      </c>
      <c r="B295">
        <v>20</v>
      </c>
      <c r="C295" t="s">
        <v>23</v>
      </c>
      <c r="D295" t="s">
        <v>36</v>
      </c>
      <c r="E295" t="s">
        <v>24</v>
      </c>
      <c r="F295" t="s">
        <v>45</v>
      </c>
      <c r="G295" s="4">
        <v>17</v>
      </c>
      <c r="H295" t="s">
        <v>37</v>
      </c>
      <c r="I295" s="4">
        <v>2925</v>
      </c>
      <c r="J295" t="s">
        <v>19</v>
      </c>
      <c r="K295" t="s">
        <v>20</v>
      </c>
      <c r="L295" t="s">
        <v>21</v>
      </c>
      <c r="M295" t="s">
        <v>22</v>
      </c>
      <c r="N295">
        <v>1</v>
      </c>
    </row>
    <row r="296" spans="1:14" x14ac:dyDescent="0.25">
      <c r="A296">
        <v>295</v>
      </c>
      <c r="B296">
        <v>24</v>
      </c>
      <c r="C296" t="s">
        <v>14</v>
      </c>
      <c r="D296" t="s">
        <v>32</v>
      </c>
      <c r="E296" t="s">
        <v>16</v>
      </c>
      <c r="F296" t="s">
        <v>17</v>
      </c>
      <c r="G296" s="4">
        <v>30</v>
      </c>
      <c r="H296" t="s">
        <v>26</v>
      </c>
      <c r="I296" s="4">
        <v>789</v>
      </c>
      <c r="J296" t="s">
        <v>27</v>
      </c>
      <c r="K296" t="s">
        <v>38</v>
      </c>
      <c r="L296" t="s">
        <v>28</v>
      </c>
      <c r="M296" t="s">
        <v>31</v>
      </c>
      <c r="N296">
        <v>2</v>
      </c>
    </row>
    <row r="297" spans="1:14" x14ac:dyDescent="0.25">
      <c r="A297">
        <v>296</v>
      </c>
      <c r="B297">
        <v>20</v>
      </c>
      <c r="C297" t="s">
        <v>29</v>
      </c>
      <c r="D297" t="s">
        <v>36</v>
      </c>
      <c r="E297" t="s">
        <v>39</v>
      </c>
      <c r="F297" t="s">
        <v>30</v>
      </c>
      <c r="G297" s="4">
        <v>7</v>
      </c>
      <c r="H297" t="s">
        <v>43</v>
      </c>
      <c r="I297" s="4">
        <v>1589</v>
      </c>
      <c r="J297" t="s">
        <v>41</v>
      </c>
      <c r="K297" t="s">
        <v>20</v>
      </c>
      <c r="L297" t="s">
        <v>21</v>
      </c>
      <c r="M297" t="s">
        <v>31</v>
      </c>
      <c r="N297">
        <v>5</v>
      </c>
    </row>
    <row r="298" spans="1:14" x14ac:dyDescent="0.25">
      <c r="A298">
        <v>297</v>
      </c>
      <c r="B298">
        <v>22</v>
      </c>
      <c r="C298" t="s">
        <v>23</v>
      </c>
      <c r="D298" t="s">
        <v>15</v>
      </c>
      <c r="E298" t="s">
        <v>16</v>
      </c>
      <c r="F298" t="s">
        <v>45</v>
      </c>
      <c r="G298" s="4">
        <v>9</v>
      </c>
      <c r="H298" t="s">
        <v>18</v>
      </c>
      <c r="I298" s="4">
        <v>2320</v>
      </c>
      <c r="J298" t="s">
        <v>35</v>
      </c>
      <c r="K298" t="s">
        <v>34</v>
      </c>
      <c r="L298" t="s">
        <v>28</v>
      </c>
      <c r="M298" t="s">
        <v>31</v>
      </c>
      <c r="N298">
        <v>5</v>
      </c>
    </row>
    <row r="299" spans="1:14" x14ac:dyDescent="0.25">
      <c r="A299">
        <v>298</v>
      </c>
      <c r="B299">
        <v>30</v>
      </c>
      <c r="C299" t="s">
        <v>23</v>
      </c>
      <c r="D299" t="s">
        <v>32</v>
      </c>
      <c r="E299" t="s">
        <v>16</v>
      </c>
      <c r="F299" t="s">
        <v>25</v>
      </c>
      <c r="G299" s="4">
        <v>25</v>
      </c>
      <c r="H299" t="s">
        <v>46</v>
      </c>
      <c r="I299" s="4">
        <v>1988</v>
      </c>
      <c r="J299" t="s">
        <v>45</v>
      </c>
      <c r="K299" t="s">
        <v>38</v>
      </c>
      <c r="L299" t="s">
        <v>28</v>
      </c>
      <c r="M299" t="s">
        <v>22</v>
      </c>
      <c r="N299">
        <v>5</v>
      </c>
    </row>
    <row r="300" spans="1:14" x14ac:dyDescent="0.25">
      <c r="A300">
        <v>299</v>
      </c>
      <c r="B300">
        <v>30</v>
      </c>
      <c r="C300" t="s">
        <v>14</v>
      </c>
      <c r="D300" t="s">
        <v>36</v>
      </c>
      <c r="E300" t="s">
        <v>39</v>
      </c>
      <c r="F300" t="s">
        <v>30</v>
      </c>
      <c r="G300" s="4">
        <v>15</v>
      </c>
      <c r="H300" t="s">
        <v>34</v>
      </c>
      <c r="I300" s="4">
        <v>2828</v>
      </c>
      <c r="J300" t="s">
        <v>41</v>
      </c>
      <c r="K300" t="s">
        <v>34</v>
      </c>
      <c r="L300" t="s">
        <v>28</v>
      </c>
      <c r="M300" t="s">
        <v>31</v>
      </c>
      <c r="N300">
        <v>2</v>
      </c>
    </row>
    <row r="301" spans="1:14" x14ac:dyDescent="0.25">
      <c r="A301">
        <v>300</v>
      </c>
      <c r="B301">
        <v>26</v>
      </c>
      <c r="C301" t="s">
        <v>14</v>
      </c>
      <c r="D301" t="s">
        <v>15</v>
      </c>
      <c r="E301" t="s">
        <v>39</v>
      </c>
      <c r="F301" t="s">
        <v>17</v>
      </c>
      <c r="G301" s="4">
        <v>20</v>
      </c>
      <c r="H301" t="s">
        <v>43</v>
      </c>
      <c r="I301" s="4">
        <v>2851</v>
      </c>
      <c r="J301" t="s">
        <v>50</v>
      </c>
      <c r="K301" t="s">
        <v>34</v>
      </c>
      <c r="L301" t="s">
        <v>28</v>
      </c>
      <c r="M301" t="s">
        <v>22</v>
      </c>
      <c r="N301">
        <v>1</v>
      </c>
    </row>
    <row r="302" spans="1:14" x14ac:dyDescent="0.25">
      <c r="A302">
        <v>301</v>
      </c>
      <c r="B302">
        <v>24</v>
      </c>
      <c r="C302" t="s">
        <v>23</v>
      </c>
      <c r="D302" t="s">
        <v>32</v>
      </c>
      <c r="E302" t="s">
        <v>24</v>
      </c>
      <c r="F302" t="s">
        <v>30</v>
      </c>
      <c r="G302" s="4">
        <v>19</v>
      </c>
      <c r="H302" t="s">
        <v>47</v>
      </c>
      <c r="I302" s="4">
        <v>865</v>
      </c>
      <c r="J302" t="s">
        <v>44</v>
      </c>
      <c r="K302" t="s">
        <v>48</v>
      </c>
      <c r="L302" t="s">
        <v>28</v>
      </c>
      <c r="M302" t="s">
        <v>31</v>
      </c>
      <c r="N302">
        <v>4</v>
      </c>
    </row>
    <row r="303" spans="1:14" x14ac:dyDescent="0.25">
      <c r="A303">
        <v>302</v>
      </c>
      <c r="B303">
        <v>22</v>
      </c>
      <c r="C303" t="s">
        <v>14</v>
      </c>
      <c r="D303" t="s">
        <v>15</v>
      </c>
      <c r="E303" t="s">
        <v>16</v>
      </c>
      <c r="F303" t="s">
        <v>25</v>
      </c>
      <c r="G303" s="4">
        <v>29</v>
      </c>
      <c r="H303" t="s">
        <v>47</v>
      </c>
      <c r="I303" s="4">
        <v>2147</v>
      </c>
      <c r="J303" t="s">
        <v>27</v>
      </c>
      <c r="K303" t="s">
        <v>48</v>
      </c>
      <c r="L303" t="s">
        <v>28</v>
      </c>
      <c r="M303" t="s">
        <v>22</v>
      </c>
      <c r="N303">
        <v>5</v>
      </c>
    </row>
    <row r="304" spans="1:14" x14ac:dyDescent="0.25">
      <c r="A304">
        <v>303</v>
      </c>
      <c r="B304">
        <v>29</v>
      </c>
      <c r="C304" t="s">
        <v>29</v>
      </c>
      <c r="D304" t="s">
        <v>32</v>
      </c>
      <c r="E304" t="s">
        <v>24</v>
      </c>
      <c r="F304" t="s">
        <v>42</v>
      </c>
      <c r="G304" s="4">
        <v>27</v>
      </c>
      <c r="H304" t="s">
        <v>18</v>
      </c>
      <c r="I304" s="4">
        <v>815</v>
      </c>
      <c r="J304" t="s">
        <v>41</v>
      </c>
      <c r="K304" t="s">
        <v>38</v>
      </c>
      <c r="L304" t="s">
        <v>28</v>
      </c>
      <c r="M304" t="s">
        <v>31</v>
      </c>
      <c r="N304">
        <v>3</v>
      </c>
    </row>
    <row r="305" spans="1:14" x14ac:dyDescent="0.25">
      <c r="A305">
        <v>304</v>
      </c>
      <c r="B305">
        <v>37</v>
      </c>
      <c r="C305" t="s">
        <v>23</v>
      </c>
      <c r="D305" t="s">
        <v>36</v>
      </c>
      <c r="E305" t="s">
        <v>39</v>
      </c>
      <c r="F305" t="s">
        <v>30</v>
      </c>
      <c r="G305" s="4">
        <v>19</v>
      </c>
      <c r="H305" t="s">
        <v>37</v>
      </c>
      <c r="I305" s="4">
        <v>727</v>
      </c>
      <c r="J305" t="s">
        <v>35</v>
      </c>
      <c r="K305" t="s">
        <v>48</v>
      </c>
      <c r="L305" t="s">
        <v>28</v>
      </c>
      <c r="M305" t="s">
        <v>22</v>
      </c>
      <c r="N305">
        <v>4</v>
      </c>
    </row>
    <row r="306" spans="1:14" x14ac:dyDescent="0.25">
      <c r="A306">
        <v>305</v>
      </c>
      <c r="B306">
        <v>30</v>
      </c>
      <c r="C306" t="s">
        <v>14</v>
      </c>
      <c r="D306" t="s">
        <v>15</v>
      </c>
      <c r="E306" t="s">
        <v>24</v>
      </c>
      <c r="F306" t="s">
        <v>25</v>
      </c>
      <c r="G306" s="4">
        <v>6</v>
      </c>
      <c r="H306" t="s">
        <v>40</v>
      </c>
      <c r="I306" s="4">
        <v>667</v>
      </c>
      <c r="J306" t="s">
        <v>35</v>
      </c>
      <c r="K306" t="s">
        <v>20</v>
      </c>
      <c r="L306" t="s">
        <v>21</v>
      </c>
      <c r="M306" t="s">
        <v>22</v>
      </c>
      <c r="N306">
        <v>5</v>
      </c>
    </row>
    <row r="307" spans="1:14" x14ac:dyDescent="0.25">
      <c r="A307">
        <v>306</v>
      </c>
      <c r="B307">
        <v>33</v>
      </c>
      <c r="C307" t="s">
        <v>23</v>
      </c>
      <c r="D307" t="s">
        <v>15</v>
      </c>
      <c r="E307" t="s">
        <v>16</v>
      </c>
      <c r="F307" t="s">
        <v>30</v>
      </c>
      <c r="G307" s="4">
        <v>9</v>
      </c>
      <c r="H307" t="s">
        <v>46</v>
      </c>
      <c r="I307" s="4">
        <v>2651</v>
      </c>
      <c r="J307" t="s">
        <v>35</v>
      </c>
      <c r="K307" t="s">
        <v>20</v>
      </c>
      <c r="L307" t="s">
        <v>28</v>
      </c>
      <c r="M307" t="s">
        <v>31</v>
      </c>
      <c r="N307">
        <v>2</v>
      </c>
    </row>
    <row r="308" spans="1:14" x14ac:dyDescent="0.25">
      <c r="A308">
        <v>307</v>
      </c>
      <c r="B308">
        <v>32</v>
      </c>
      <c r="C308" t="s">
        <v>29</v>
      </c>
      <c r="D308" t="s">
        <v>36</v>
      </c>
      <c r="E308" t="s">
        <v>24</v>
      </c>
      <c r="F308" t="s">
        <v>45</v>
      </c>
      <c r="G308" s="4">
        <v>13</v>
      </c>
      <c r="H308" t="s">
        <v>26</v>
      </c>
      <c r="I308" s="4">
        <v>893</v>
      </c>
      <c r="J308" t="s">
        <v>19</v>
      </c>
      <c r="K308" t="s">
        <v>48</v>
      </c>
      <c r="L308" t="s">
        <v>28</v>
      </c>
      <c r="M308" t="s">
        <v>31</v>
      </c>
      <c r="N308">
        <v>4</v>
      </c>
    </row>
    <row r="309" spans="1:14" x14ac:dyDescent="0.25">
      <c r="A309">
        <v>308</v>
      </c>
      <c r="B309">
        <v>27</v>
      </c>
      <c r="C309" t="s">
        <v>14</v>
      </c>
      <c r="D309" t="s">
        <v>32</v>
      </c>
      <c r="E309" t="s">
        <v>39</v>
      </c>
      <c r="F309" t="s">
        <v>17</v>
      </c>
      <c r="G309" s="4">
        <v>26</v>
      </c>
      <c r="H309" t="s">
        <v>34</v>
      </c>
      <c r="I309" s="4">
        <v>442</v>
      </c>
      <c r="J309" t="s">
        <v>35</v>
      </c>
      <c r="K309" t="s">
        <v>34</v>
      </c>
      <c r="L309" t="s">
        <v>28</v>
      </c>
      <c r="M309" t="s">
        <v>22</v>
      </c>
      <c r="N309">
        <v>4</v>
      </c>
    </row>
    <row r="310" spans="1:14" x14ac:dyDescent="0.25">
      <c r="A310">
        <v>309</v>
      </c>
      <c r="B310">
        <v>22</v>
      </c>
      <c r="C310" t="s">
        <v>23</v>
      </c>
      <c r="D310" t="s">
        <v>32</v>
      </c>
      <c r="E310" t="s">
        <v>24</v>
      </c>
      <c r="F310" t="s">
        <v>30</v>
      </c>
      <c r="G310" s="4">
        <v>21</v>
      </c>
      <c r="H310" t="s">
        <v>37</v>
      </c>
      <c r="I310" s="4">
        <v>984</v>
      </c>
      <c r="J310" t="s">
        <v>41</v>
      </c>
      <c r="K310" t="s">
        <v>20</v>
      </c>
      <c r="L310" t="s">
        <v>28</v>
      </c>
      <c r="M310" t="s">
        <v>31</v>
      </c>
      <c r="N310">
        <v>1</v>
      </c>
    </row>
    <row r="311" spans="1:14" x14ac:dyDescent="0.25">
      <c r="A311">
        <v>310</v>
      </c>
      <c r="B311">
        <v>31</v>
      </c>
      <c r="C311" t="s">
        <v>23</v>
      </c>
      <c r="D311" t="s">
        <v>36</v>
      </c>
      <c r="E311" t="s">
        <v>24</v>
      </c>
      <c r="F311" t="s">
        <v>25</v>
      </c>
      <c r="G311" s="4">
        <v>17</v>
      </c>
      <c r="H311" t="s">
        <v>34</v>
      </c>
      <c r="I311" s="4">
        <v>1590</v>
      </c>
      <c r="J311" t="s">
        <v>27</v>
      </c>
      <c r="K311" t="s">
        <v>20</v>
      </c>
      <c r="L311" t="s">
        <v>28</v>
      </c>
      <c r="M311" t="s">
        <v>31</v>
      </c>
      <c r="N311">
        <v>1</v>
      </c>
    </row>
    <row r="312" spans="1:14" x14ac:dyDescent="0.25">
      <c r="A312">
        <v>311</v>
      </c>
      <c r="B312">
        <v>23</v>
      </c>
      <c r="C312" t="s">
        <v>29</v>
      </c>
      <c r="D312" t="s">
        <v>15</v>
      </c>
      <c r="E312" t="s">
        <v>39</v>
      </c>
      <c r="F312" t="s">
        <v>25</v>
      </c>
      <c r="G312" s="4">
        <v>26</v>
      </c>
      <c r="H312" t="s">
        <v>46</v>
      </c>
      <c r="I312" s="4">
        <v>2286</v>
      </c>
      <c r="J312" t="s">
        <v>44</v>
      </c>
      <c r="K312" t="s">
        <v>34</v>
      </c>
      <c r="L312" t="s">
        <v>21</v>
      </c>
      <c r="M312" t="s">
        <v>22</v>
      </c>
      <c r="N312">
        <v>2</v>
      </c>
    </row>
    <row r="313" spans="1:14" x14ac:dyDescent="0.25">
      <c r="A313">
        <v>312</v>
      </c>
      <c r="B313">
        <v>29</v>
      </c>
      <c r="C313" t="s">
        <v>29</v>
      </c>
      <c r="D313" t="s">
        <v>32</v>
      </c>
      <c r="E313" t="s">
        <v>39</v>
      </c>
      <c r="F313" t="s">
        <v>45</v>
      </c>
      <c r="G313" s="4">
        <v>12</v>
      </c>
      <c r="H313" t="s">
        <v>46</v>
      </c>
      <c r="I313" s="4">
        <v>1257</v>
      </c>
      <c r="J313" t="s">
        <v>49</v>
      </c>
      <c r="K313" t="s">
        <v>48</v>
      </c>
      <c r="L313" t="s">
        <v>28</v>
      </c>
      <c r="M313" t="s">
        <v>22</v>
      </c>
      <c r="N313">
        <v>4</v>
      </c>
    </row>
    <row r="314" spans="1:14" x14ac:dyDescent="0.25">
      <c r="A314">
        <v>313</v>
      </c>
      <c r="B314">
        <v>38</v>
      </c>
      <c r="C314" t="s">
        <v>14</v>
      </c>
      <c r="D314" t="s">
        <v>32</v>
      </c>
      <c r="E314" t="s">
        <v>16</v>
      </c>
      <c r="F314" t="s">
        <v>45</v>
      </c>
      <c r="G314" s="4">
        <v>23</v>
      </c>
      <c r="H314" t="s">
        <v>18</v>
      </c>
      <c r="I314" s="4">
        <v>2376</v>
      </c>
      <c r="J314" t="s">
        <v>45</v>
      </c>
      <c r="K314" t="s">
        <v>34</v>
      </c>
      <c r="L314" t="s">
        <v>28</v>
      </c>
      <c r="M314" t="s">
        <v>22</v>
      </c>
      <c r="N314">
        <v>5</v>
      </c>
    </row>
    <row r="315" spans="1:14" x14ac:dyDescent="0.25">
      <c r="A315">
        <v>314</v>
      </c>
      <c r="B315">
        <v>22</v>
      </c>
      <c r="C315" t="s">
        <v>29</v>
      </c>
      <c r="D315" t="s">
        <v>36</v>
      </c>
      <c r="E315" t="s">
        <v>39</v>
      </c>
      <c r="F315" t="s">
        <v>25</v>
      </c>
      <c r="G315" s="4">
        <v>9</v>
      </c>
      <c r="H315" t="s">
        <v>34</v>
      </c>
      <c r="I315" s="4">
        <v>820</v>
      </c>
      <c r="J315" t="s">
        <v>44</v>
      </c>
      <c r="K315" t="s">
        <v>48</v>
      </c>
      <c r="L315" t="s">
        <v>28</v>
      </c>
      <c r="M315" t="s">
        <v>31</v>
      </c>
      <c r="N315">
        <v>3</v>
      </c>
    </row>
    <row r="316" spans="1:14" x14ac:dyDescent="0.25">
      <c r="A316">
        <v>315</v>
      </c>
      <c r="B316">
        <v>38</v>
      </c>
      <c r="C316" t="s">
        <v>14</v>
      </c>
      <c r="D316" t="s">
        <v>32</v>
      </c>
      <c r="E316" t="s">
        <v>39</v>
      </c>
      <c r="F316" t="s">
        <v>25</v>
      </c>
      <c r="G316" s="4">
        <v>10</v>
      </c>
      <c r="H316" t="s">
        <v>37</v>
      </c>
      <c r="I316" s="4">
        <v>1283</v>
      </c>
      <c r="J316" t="s">
        <v>44</v>
      </c>
      <c r="K316" t="s">
        <v>20</v>
      </c>
      <c r="L316" t="s">
        <v>21</v>
      </c>
      <c r="M316" t="s">
        <v>22</v>
      </c>
      <c r="N316">
        <v>1</v>
      </c>
    </row>
    <row r="317" spans="1:14" x14ac:dyDescent="0.25">
      <c r="A317">
        <v>316</v>
      </c>
      <c r="B317">
        <v>37</v>
      </c>
      <c r="C317" t="s">
        <v>29</v>
      </c>
      <c r="D317" t="s">
        <v>32</v>
      </c>
      <c r="E317" t="s">
        <v>39</v>
      </c>
      <c r="F317" t="s">
        <v>42</v>
      </c>
      <c r="G317" s="4">
        <v>18</v>
      </c>
      <c r="H317" t="s">
        <v>47</v>
      </c>
      <c r="I317" s="4">
        <v>2594</v>
      </c>
      <c r="J317" t="s">
        <v>41</v>
      </c>
      <c r="K317" t="s">
        <v>38</v>
      </c>
      <c r="L317" t="s">
        <v>28</v>
      </c>
      <c r="M317" t="s">
        <v>22</v>
      </c>
      <c r="N317">
        <v>4</v>
      </c>
    </row>
    <row r="318" spans="1:14" x14ac:dyDescent="0.25">
      <c r="A318">
        <v>317</v>
      </c>
      <c r="B318">
        <v>28</v>
      </c>
      <c r="C318" t="s">
        <v>14</v>
      </c>
      <c r="D318" t="s">
        <v>36</v>
      </c>
      <c r="E318" t="s">
        <v>16</v>
      </c>
      <c r="F318" t="s">
        <v>17</v>
      </c>
      <c r="G318" s="4">
        <v>29</v>
      </c>
      <c r="H318" t="s">
        <v>40</v>
      </c>
      <c r="I318" s="4">
        <v>2175</v>
      </c>
      <c r="J318" t="s">
        <v>27</v>
      </c>
      <c r="K318" t="s">
        <v>34</v>
      </c>
      <c r="L318" t="s">
        <v>28</v>
      </c>
      <c r="M318" t="s">
        <v>22</v>
      </c>
      <c r="N318">
        <v>2</v>
      </c>
    </row>
    <row r="319" spans="1:14" x14ac:dyDescent="0.25">
      <c r="A319">
        <v>318</v>
      </c>
      <c r="B319">
        <v>21</v>
      </c>
      <c r="C319" t="s">
        <v>29</v>
      </c>
      <c r="D319" t="s">
        <v>15</v>
      </c>
      <c r="E319" t="s">
        <v>16</v>
      </c>
      <c r="F319" t="s">
        <v>33</v>
      </c>
      <c r="G319" s="4">
        <v>17</v>
      </c>
      <c r="H319" t="s">
        <v>46</v>
      </c>
      <c r="I319" s="4">
        <v>2061</v>
      </c>
      <c r="J319" t="s">
        <v>35</v>
      </c>
      <c r="K319" t="s">
        <v>20</v>
      </c>
      <c r="L319" t="s">
        <v>28</v>
      </c>
      <c r="M319" t="s">
        <v>31</v>
      </c>
      <c r="N319">
        <v>5</v>
      </c>
    </row>
    <row r="320" spans="1:14" x14ac:dyDescent="0.25">
      <c r="A320">
        <v>319</v>
      </c>
      <c r="B320">
        <v>39</v>
      </c>
      <c r="C320" t="s">
        <v>29</v>
      </c>
      <c r="D320" t="s">
        <v>15</v>
      </c>
      <c r="E320" t="s">
        <v>16</v>
      </c>
      <c r="F320" t="s">
        <v>42</v>
      </c>
      <c r="G320" s="4">
        <v>9</v>
      </c>
      <c r="H320" t="s">
        <v>47</v>
      </c>
      <c r="I320" s="4">
        <v>1403</v>
      </c>
      <c r="J320" t="s">
        <v>27</v>
      </c>
      <c r="K320" t="s">
        <v>38</v>
      </c>
      <c r="L320" t="s">
        <v>21</v>
      </c>
      <c r="M320" t="s">
        <v>22</v>
      </c>
      <c r="N320">
        <v>4</v>
      </c>
    </row>
    <row r="321" spans="1:14" x14ac:dyDescent="0.25">
      <c r="A321">
        <v>320</v>
      </c>
      <c r="B321">
        <v>18</v>
      </c>
      <c r="C321" t="s">
        <v>14</v>
      </c>
      <c r="D321" t="s">
        <v>32</v>
      </c>
      <c r="E321" t="s">
        <v>24</v>
      </c>
      <c r="F321" t="s">
        <v>17</v>
      </c>
      <c r="G321" s="4">
        <v>23</v>
      </c>
      <c r="H321" t="s">
        <v>47</v>
      </c>
      <c r="I321" s="4">
        <v>2066</v>
      </c>
      <c r="J321" t="s">
        <v>45</v>
      </c>
      <c r="K321" t="s">
        <v>34</v>
      </c>
      <c r="L321" t="s">
        <v>21</v>
      </c>
      <c r="M321" t="s">
        <v>22</v>
      </c>
      <c r="N321">
        <v>2</v>
      </c>
    </row>
    <row r="322" spans="1:14" x14ac:dyDescent="0.25">
      <c r="A322">
        <v>321</v>
      </c>
      <c r="B322">
        <v>39</v>
      </c>
      <c r="C322" t="s">
        <v>14</v>
      </c>
      <c r="D322" t="s">
        <v>36</v>
      </c>
      <c r="E322" t="s">
        <v>16</v>
      </c>
      <c r="F322" t="s">
        <v>42</v>
      </c>
      <c r="G322" s="4">
        <v>8</v>
      </c>
      <c r="H322" t="s">
        <v>43</v>
      </c>
      <c r="I322" s="4">
        <v>2677</v>
      </c>
      <c r="J322" t="s">
        <v>45</v>
      </c>
      <c r="K322" t="s">
        <v>48</v>
      </c>
      <c r="L322" t="s">
        <v>28</v>
      </c>
      <c r="M322" t="s">
        <v>31</v>
      </c>
      <c r="N322">
        <v>1</v>
      </c>
    </row>
    <row r="323" spans="1:14" x14ac:dyDescent="0.25">
      <c r="A323">
        <v>322</v>
      </c>
      <c r="B323">
        <v>40</v>
      </c>
      <c r="C323" t="s">
        <v>29</v>
      </c>
      <c r="D323" t="s">
        <v>32</v>
      </c>
      <c r="E323" t="s">
        <v>24</v>
      </c>
      <c r="F323" t="s">
        <v>33</v>
      </c>
      <c r="G323" s="4">
        <v>9</v>
      </c>
      <c r="H323" t="s">
        <v>46</v>
      </c>
      <c r="I323" s="4">
        <v>841</v>
      </c>
      <c r="J323" t="s">
        <v>44</v>
      </c>
      <c r="K323" t="s">
        <v>20</v>
      </c>
      <c r="L323" t="s">
        <v>21</v>
      </c>
      <c r="M323" t="s">
        <v>22</v>
      </c>
      <c r="N323">
        <v>1</v>
      </c>
    </row>
    <row r="324" spans="1:14" x14ac:dyDescent="0.25">
      <c r="A324">
        <v>323</v>
      </c>
      <c r="B324">
        <v>27</v>
      </c>
      <c r="C324" t="s">
        <v>14</v>
      </c>
      <c r="D324" t="s">
        <v>36</v>
      </c>
      <c r="E324" t="s">
        <v>16</v>
      </c>
      <c r="F324" t="s">
        <v>30</v>
      </c>
      <c r="G324" s="4">
        <v>8</v>
      </c>
      <c r="H324" t="s">
        <v>40</v>
      </c>
      <c r="I324" s="4">
        <v>435</v>
      </c>
      <c r="J324" t="s">
        <v>50</v>
      </c>
      <c r="K324" t="s">
        <v>20</v>
      </c>
      <c r="L324" t="s">
        <v>28</v>
      </c>
      <c r="M324" t="s">
        <v>22</v>
      </c>
      <c r="N324">
        <v>4</v>
      </c>
    </row>
    <row r="325" spans="1:14" x14ac:dyDescent="0.25">
      <c r="A325">
        <v>324</v>
      </c>
      <c r="B325">
        <v>19</v>
      </c>
      <c r="C325" t="s">
        <v>23</v>
      </c>
      <c r="D325" t="s">
        <v>32</v>
      </c>
      <c r="E325" t="s">
        <v>39</v>
      </c>
      <c r="F325" t="s">
        <v>25</v>
      </c>
      <c r="G325" s="4">
        <v>22</v>
      </c>
      <c r="H325" t="s">
        <v>47</v>
      </c>
      <c r="I325" s="4">
        <v>2033</v>
      </c>
      <c r="J325" t="s">
        <v>41</v>
      </c>
      <c r="K325" t="s">
        <v>48</v>
      </c>
      <c r="L325" t="s">
        <v>21</v>
      </c>
      <c r="M325" t="s">
        <v>31</v>
      </c>
      <c r="N325">
        <v>2</v>
      </c>
    </row>
    <row r="326" spans="1:14" x14ac:dyDescent="0.25">
      <c r="A326">
        <v>325</v>
      </c>
      <c r="B326">
        <v>22</v>
      </c>
      <c r="C326" t="s">
        <v>23</v>
      </c>
      <c r="D326" t="s">
        <v>36</v>
      </c>
      <c r="E326" t="s">
        <v>16</v>
      </c>
      <c r="F326" t="s">
        <v>30</v>
      </c>
      <c r="G326" s="4">
        <v>7</v>
      </c>
      <c r="H326" t="s">
        <v>40</v>
      </c>
      <c r="I326" s="4">
        <v>2095</v>
      </c>
      <c r="J326" t="s">
        <v>49</v>
      </c>
      <c r="K326" t="s">
        <v>34</v>
      </c>
      <c r="L326" t="s">
        <v>28</v>
      </c>
      <c r="M326" t="s">
        <v>31</v>
      </c>
      <c r="N326">
        <v>1</v>
      </c>
    </row>
    <row r="327" spans="1:14" x14ac:dyDescent="0.25">
      <c r="A327">
        <v>326</v>
      </c>
      <c r="B327">
        <v>19</v>
      </c>
      <c r="C327" t="s">
        <v>29</v>
      </c>
      <c r="D327" t="s">
        <v>32</v>
      </c>
      <c r="E327" t="s">
        <v>24</v>
      </c>
      <c r="F327" t="s">
        <v>30</v>
      </c>
      <c r="G327" s="4">
        <v>8</v>
      </c>
      <c r="H327" t="s">
        <v>26</v>
      </c>
      <c r="I327" s="4">
        <v>715</v>
      </c>
      <c r="J327" t="s">
        <v>19</v>
      </c>
      <c r="K327" t="s">
        <v>48</v>
      </c>
      <c r="L327" t="s">
        <v>21</v>
      </c>
      <c r="M327" t="s">
        <v>22</v>
      </c>
      <c r="N327">
        <v>1</v>
      </c>
    </row>
    <row r="328" spans="1:14" x14ac:dyDescent="0.25">
      <c r="A328">
        <v>327</v>
      </c>
      <c r="B328">
        <v>22</v>
      </c>
      <c r="C328" t="s">
        <v>29</v>
      </c>
      <c r="D328" t="s">
        <v>32</v>
      </c>
      <c r="E328" t="s">
        <v>39</v>
      </c>
      <c r="F328" t="s">
        <v>45</v>
      </c>
      <c r="G328" s="4">
        <v>26</v>
      </c>
      <c r="H328" t="s">
        <v>46</v>
      </c>
      <c r="I328" s="4">
        <v>2650</v>
      </c>
      <c r="J328" t="s">
        <v>19</v>
      </c>
      <c r="K328" t="s">
        <v>34</v>
      </c>
      <c r="L328" t="s">
        <v>28</v>
      </c>
      <c r="M328" t="s">
        <v>22</v>
      </c>
      <c r="N328">
        <v>2</v>
      </c>
    </row>
    <row r="329" spans="1:14" x14ac:dyDescent="0.25">
      <c r="A329">
        <v>328</v>
      </c>
      <c r="B329">
        <v>21</v>
      </c>
      <c r="C329" t="s">
        <v>29</v>
      </c>
      <c r="D329" t="s">
        <v>32</v>
      </c>
      <c r="E329" t="s">
        <v>24</v>
      </c>
      <c r="F329" t="s">
        <v>42</v>
      </c>
      <c r="G329" s="4">
        <v>17</v>
      </c>
      <c r="H329" t="s">
        <v>26</v>
      </c>
      <c r="I329" s="4">
        <v>1639</v>
      </c>
      <c r="J329" t="s">
        <v>44</v>
      </c>
      <c r="K329" t="s">
        <v>48</v>
      </c>
      <c r="L329" t="s">
        <v>21</v>
      </c>
      <c r="M329" t="s">
        <v>22</v>
      </c>
      <c r="N329">
        <v>4</v>
      </c>
    </row>
    <row r="330" spans="1:14" x14ac:dyDescent="0.25">
      <c r="A330">
        <v>329</v>
      </c>
      <c r="B330">
        <v>23</v>
      </c>
      <c r="C330" t="s">
        <v>29</v>
      </c>
      <c r="D330" t="s">
        <v>36</v>
      </c>
      <c r="E330" t="s">
        <v>24</v>
      </c>
      <c r="F330" t="s">
        <v>42</v>
      </c>
      <c r="G330" s="4">
        <v>8</v>
      </c>
      <c r="H330" t="s">
        <v>37</v>
      </c>
      <c r="I330" s="4">
        <v>1704</v>
      </c>
      <c r="J330" t="s">
        <v>45</v>
      </c>
      <c r="K330" t="s">
        <v>34</v>
      </c>
      <c r="L330" t="s">
        <v>21</v>
      </c>
      <c r="M330" t="s">
        <v>22</v>
      </c>
      <c r="N330">
        <v>5</v>
      </c>
    </row>
    <row r="331" spans="1:14" x14ac:dyDescent="0.25">
      <c r="A331">
        <v>330</v>
      </c>
      <c r="B331">
        <v>33</v>
      </c>
      <c r="C331" t="s">
        <v>29</v>
      </c>
      <c r="D331" t="s">
        <v>15</v>
      </c>
      <c r="E331" t="s">
        <v>16</v>
      </c>
      <c r="F331" t="s">
        <v>30</v>
      </c>
      <c r="G331" s="4">
        <v>20</v>
      </c>
      <c r="H331" t="s">
        <v>34</v>
      </c>
      <c r="I331" s="4">
        <v>462</v>
      </c>
      <c r="J331" t="s">
        <v>41</v>
      </c>
      <c r="K331" t="s">
        <v>38</v>
      </c>
      <c r="L331" t="s">
        <v>28</v>
      </c>
      <c r="M331" t="s">
        <v>22</v>
      </c>
      <c r="N331">
        <v>4</v>
      </c>
    </row>
    <row r="332" spans="1:14" x14ac:dyDescent="0.25">
      <c r="A332">
        <v>331</v>
      </c>
      <c r="B332">
        <v>31</v>
      </c>
      <c r="C332" t="s">
        <v>29</v>
      </c>
      <c r="D332" t="s">
        <v>32</v>
      </c>
      <c r="E332" t="s">
        <v>24</v>
      </c>
      <c r="F332" t="s">
        <v>17</v>
      </c>
      <c r="G332" s="4">
        <v>26</v>
      </c>
      <c r="H332" t="s">
        <v>26</v>
      </c>
      <c r="I332" s="4">
        <v>2976</v>
      </c>
      <c r="J332" t="s">
        <v>44</v>
      </c>
      <c r="K332" t="s">
        <v>48</v>
      </c>
      <c r="L332" t="s">
        <v>21</v>
      </c>
      <c r="M332" t="s">
        <v>22</v>
      </c>
      <c r="N332">
        <v>2</v>
      </c>
    </row>
    <row r="333" spans="1:14" x14ac:dyDescent="0.25">
      <c r="A333">
        <v>332</v>
      </c>
      <c r="B333">
        <v>34</v>
      </c>
      <c r="C333" t="s">
        <v>14</v>
      </c>
      <c r="D333" t="s">
        <v>32</v>
      </c>
      <c r="E333" t="s">
        <v>39</v>
      </c>
      <c r="F333" t="s">
        <v>25</v>
      </c>
      <c r="G333" s="4">
        <v>20</v>
      </c>
      <c r="H333" t="s">
        <v>34</v>
      </c>
      <c r="I333" s="4">
        <v>2030</v>
      </c>
      <c r="J333" t="s">
        <v>35</v>
      </c>
      <c r="K333" t="s">
        <v>48</v>
      </c>
      <c r="L333" t="s">
        <v>21</v>
      </c>
      <c r="M333" t="s">
        <v>31</v>
      </c>
      <c r="N333">
        <v>2</v>
      </c>
    </row>
    <row r="334" spans="1:14" x14ac:dyDescent="0.25">
      <c r="A334">
        <v>333</v>
      </c>
      <c r="B334">
        <v>30</v>
      </c>
      <c r="C334" t="s">
        <v>29</v>
      </c>
      <c r="D334" t="s">
        <v>36</v>
      </c>
      <c r="E334" t="s">
        <v>39</v>
      </c>
      <c r="F334" t="s">
        <v>33</v>
      </c>
      <c r="G334" s="4">
        <v>12</v>
      </c>
      <c r="H334" t="s">
        <v>43</v>
      </c>
      <c r="I334" s="4">
        <v>322</v>
      </c>
      <c r="J334" t="s">
        <v>49</v>
      </c>
      <c r="K334" t="s">
        <v>34</v>
      </c>
      <c r="L334" t="s">
        <v>21</v>
      </c>
      <c r="M334" t="s">
        <v>31</v>
      </c>
      <c r="N334">
        <v>4</v>
      </c>
    </row>
    <row r="335" spans="1:14" x14ac:dyDescent="0.25">
      <c r="A335">
        <v>334</v>
      </c>
      <c r="B335">
        <v>38</v>
      </c>
      <c r="C335" t="s">
        <v>29</v>
      </c>
      <c r="D335" t="s">
        <v>15</v>
      </c>
      <c r="E335" t="s">
        <v>24</v>
      </c>
      <c r="F335" t="s">
        <v>45</v>
      </c>
      <c r="G335" s="4">
        <v>5</v>
      </c>
      <c r="H335" t="s">
        <v>47</v>
      </c>
      <c r="I335" s="4">
        <v>420</v>
      </c>
      <c r="J335" t="s">
        <v>19</v>
      </c>
      <c r="K335" t="s">
        <v>34</v>
      </c>
      <c r="L335" t="s">
        <v>21</v>
      </c>
      <c r="M335" t="s">
        <v>31</v>
      </c>
      <c r="N335">
        <v>4</v>
      </c>
    </row>
    <row r="336" spans="1:14" x14ac:dyDescent="0.25">
      <c r="A336">
        <v>335</v>
      </c>
      <c r="B336">
        <v>28</v>
      </c>
      <c r="C336" t="s">
        <v>29</v>
      </c>
      <c r="D336" t="s">
        <v>32</v>
      </c>
      <c r="E336" t="s">
        <v>24</v>
      </c>
      <c r="F336" t="s">
        <v>45</v>
      </c>
      <c r="G336" s="4">
        <v>16</v>
      </c>
      <c r="H336" t="s">
        <v>43</v>
      </c>
      <c r="I336" s="4">
        <v>222</v>
      </c>
      <c r="J336" t="s">
        <v>50</v>
      </c>
      <c r="K336" t="s">
        <v>20</v>
      </c>
      <c r="L336" t="s">
        <v>21</v>
      </c>
      <c r="M336" t="s">
        <v>22</v>
      </c>
      <c r="N336">
        <v>2</v>
      </c>
    </row>
    <row r="337" spans="1:14" x14ac:dyDescent="0.25">
      <c r="A337">
        <v>336</v>
      </c>
      <c r="B337">
        <v>39</v>
      </c>
      <c r="C337" t="s">
        <v>29</v>
      </c>
      <c r="D337" t="s">
        <v>36</v>
      </c>
      <c r="E337" t="s">
        <v>39</v>
      </c>
      <c r="F337" t="s">
        <v>45</v>
      </c>
      <c r="G337" s="4">
        <v>12</v>
      </c>
      <c r="H337" t="s">
        <v>34</v>
      </c>
      <c r="I337" s="4">
        <v>8</v>
      </c>
      <c r="J337" t="s">
        <v>19</v>
      </c>
      <c r="K337" t="s">
        <v>48</v>
      </c>
      <c r="L337" t="s">
        <v>21</v>
      </c>
      <c r="M337" t="s">
        <v>31</v>
      </c>
      <c r="N337">
        <v>3</v>
      </c>
    </row>
    <row r="338" spans="1:14" x14ac:dyDescent="0.25">
      <c r="A338">
        <v>337</v>
      </c>
      <c r="B338">
        <v>22</v>
      </c>
      <c r="C338" t="s">
        <v>14</v>
      </c>
      <c r="D338" t="s">
        <v>32</v>
      </c>
      <c r="E338" t="s">
        <v>24</v>
      </c>
      <c r="F338" t="s">
        <v>25</v>
      </c>
      <c r="G338" s="4">
        <v>27</v>
      </c>
      <c r="H338" t="s">
        <v>40</v>
      </c>
      <c r="I338" s="4">
        <v>2955</v>
      </c>
      <c r="J338" t="s">
        <v>19</v>
      </c>
      <c r="K338" t="s">
        <v>20</v>
      </c>
      <c r="L338" t="s">
        <v>21</v>
      </c>
      <c r="M338" t="s">
        <v>31</v>
      </c>
      <c r="N338">
        <v>4</v>
      </c>
    </row>
    <row r="339" spans="1:14" x14ac:dyDescent="0.25">
      <c r="A339">
        <v>338</v>
      </c>
      <c r="B339">
        <v>24</v>
      </c>
      <c r="C339" t="s">
        <v>29</v>
      </c>
      <c r="D339" t="s">
        <v>15</v>
      </c>
      <c r="E339" t="s">
        <v>24</v>
      </c>
      <c r="F339" t="s">
        <v>17</v>
      </c>
      <c r="G339" s="4">
        <v>27</v>
      </c>
      <c r="H339" t="s">
        <v>18</v>
      </c>
      <c r="I339" s="4">
        <v>1384</v>
      </c>
      <c r="J339" t="s">
        <v>49</v>
      </c>
      <c r="K339" t="s">
        <v>20</v>
      </c>
      <c r="L339" t="s">
        <v>21</v>
      </c>
      <c r="M339" t="s">
        <v>31</v>
      </c>
      <c r="N339">
        <v>1</v>
      </c>
    </row>
    <row r="340" spans="1:14" x14ac:dyDescent="0.25">
      <c r="A340">
        <v>339</v>
      </c>
      <c r="B340">
        <v>18</v>
      </c>
      <c r="C340" t="s">
        <v>29</v>
      </c>
      <c r="D340" t="s">
        <v>36</v>
      </c>
      <c r="E340" t="s">
        <v>39</v>
      </c>
      <c r="F340" t="s">
        <v>45</v>
      </c>
      <c r="G340" s="4">
        <v>21</v>
      </c>
      <c r="H340" t="s">
        <v>37</v>
      </c>
      <c r="I340" s="4">
        <v>198</v>
      </c>
      <c r="J340" t="s">
        <v>44</v>
      </c>
      <c r="K340" t="s">
        <v>38</v>
      </c>
      <c r="L340" t="s">
        <v>21</v>
      </c>
      <c r="M340" t="s">
        <v>31</v>
      </c>
      <c r="N340">
        <v>5</v>
      </c>
    </row>
    <row r="341" spans="1:14" x14ac:dyDescent="0.25">
      <c r="A341">
        <v>340</v>
      </c>
      <c r="B341">
        <v>39</v>
      </c>
      <c r="C341" t="s">
        <v>23</v>
      </c>
      <c r="D341" t="s">
        <v>32</v>
      </c>
      <c r="E341" t="s">
        <v>39</v>
      </c>
      <c r="F341" t="s">
        <v>45</v>
      </c>
      <c r="G341" s="4">
        <v>24</v>
      </c>
      <c r="H341" t="s">
        <v>40</v>
      </c>
      <c r="I341" s="4">
        <v>2482</v>
      </c>
      <c r="J341" t="s">
        <v>35</v>
      </c>
      <c r="K341" t="s">
        <v>20</v>
      </c>
      <c r="L341" t="s">
        <v>28</v>
      </c>
      <c r="M341" t="s">
        <v>31</v>
      </c>
      <c r="N341">
        <v>3</v>
      </c>
    </row>
    <row r="342" spans="1:14" x14ac:dyDescent="0.25">
      <c r="A342">
        <v>341</v>
      </c>
      <c r="B342">
        <v>32</v>
      </c>
      <c r="C342" t="s">
        <v>29</v>
      </c>
      <c r="D342" t="s">
        <v>36</v>
      </c>
      <c r="E342" t="s">
        <v>24</v>
      </c>
      <c r="F342" t="s">
        <v>17</v>
      </c>
      <c r="G342" s="4">
        <v>30</v>
      </c>
      <c r="H342" t="s">
        <v>46</v>
      </c>
      <c r="I342" s="4">
        <v>546</v>
      </c>
      <c r="J342" t="s">
        <v>50</v>
      </c>
      <c r="K342" t="s">
        <v>38</v>
      </c>
      <c r="L342" t="s">
        <v>21</v>
      </c>
      <c r="M342" t="s">
        <v>22</v>
      </c>
      <c r="N342">
        <v>2</v>
      </c>
    </row>
    <row r="343" spans="1:14" x14ac:dyDescent="0.25">
      <c r="A343">
        <v>342</v>
      </c>
      <c r="B343">
        <v>37</v>
      </c>
      <c r="C343" t="s">
        <v>23</v>
      </c>
      <c r="D343" t="s">
        <v>15</v>
      </c>
      <c r="E343" t="s">
        <v>24</v>
      </c>
      <c r="F343" t="s">
        <v>17</v>
      </c>
      <c r="G343" s="4">
        <v>27</v>
      </c>
      <c r="H343" t="s">
        <v>37</v>
      </c>
      <c r="I343" s="4">
        <v>1190</v>
      </c>
      <c r="J343" t="s">
        <v>50</v>
      </c>
      <c r="K343" t="s">
        <v>48</v>
      </c>
      <c r="L343" t="s">
        <v>28</v>
      </c>
      <c r="M343" t="s">
        <v>31</v>
      </c>
      <c r="N343">
        <v>3</v>
      </c>
    </row>
    <row r="344" spans="1:14" x14ac:dyDescent="0.25">
      <c r="A344">
        <v>343</v>
      </c>
      <c r="B344">
        <v>36</v>
      </c>
      <c r="C344" t="s">
        <v>23</v>
      </c>
      <c r="D344" t="s">
        <v>36</v>
      </c>
      <c r="E344" t="s">
        <v>24</v>
      </c>
      <c r="F344" t="s">
        <v>30</v>
      </c>
      <c r="G344" s="4">
        <v>23</v>
      </c>
      <c r="H344" t="s">
        <v>26</v>
      </c>
      <c r="I344" s="4">
        <v>2732</v>
      </c>
      <c r="J344" t="s">
        <v>41</v>
      </c>
      <c r="K344" t="s">
        <v>48</v>
      </c>
      <c r="L344" t="s">
        <v>21</v>
      </c>
      <c r="M344" t="s">
        <v>31</v>
      </c>
      <c r="N344">
        <v>4</v>
      </c>
    </row>
    <row r="345" spans="1:14" x14ac:dyDescent="0.25">
      <c r="A345">
        <v>344</v>
      </c>
      <c r="B345">
        <v>22</v>
      </c>
      <c r="C345" t="s">
        <v>14</v>
      </c>
      <c r="D345" t="s">
        <v>32</v>
      </c>
      <c r="E345" t="s">
        <v>16</v>
      </c>
      <c r="F345" t="s">
        <v>30</v>
      </c>
      <c r="G345" s="4">
        <v>6</v>
      </c>
      <c r="H345" t="s">
        <v>46</v>
      </c>
      <c r="I345" s="4">
        <v>2745</v>
      </c>
      <c r="J345" t="s">
        <v>44</v>
      </c>
      <c r="K345" t="s">
        <v>48</v>
      </c>
      <c r="L345" t="s">
        <v>28</v>
      </c>
      <c r="M345" t="s">
        <v>22</v>
      </c>
      <c r="N345">
        <v>1</v>
      </c>
    </row>
    <row r="346" spans="1:14" x14ac:dyDescent="0.25">
      <c r="A346">
        <v>345</v>
      </c>
      <c r="B346">
        <v>35</v>
      </c>
      <c r="C346" t="s">
        <v>14</v>
      </c>
      <c r="D346" t="s">
        <v>36</v>
      </c>
      <c r="E346" t="s">
        <v>24</v>
      </c>
      <c r="F346" t="s">
        <v>17</v>
      </c>
      <c r="G346" s="4">
        <v>6</v>
      </c>
      <c r="H346" t="s">
        <v>40</v>
      </c>
      <c r="I346" s="4">
        <v>1469</v>
      </c>
      <c r="J346" t="s">
        <v>45</v>
      </c>
      <c r="K346" t="s">
        <v>38</v>
      </c>
      <c r="L346" t="s">
        <v>28</v>
      </c>
      <c r="M346" t="s">
        <v>22</v>
      </c>
      <c r="N346">
        <v>4</v>
      </c>
    </row>
    <row r="347" spans="1:14" x14ac:dyDescent="0.25">
      <c r="A347">
        <v>346</v>
      </c>
      <c r="B347">
        <v>30</v>
      </c>
      <c r="C347" t="s">
        <v>23</v>
      </c>
      <c r="D347" t="s">
        <v>15</v>
      </c>
      <c r="E347" t="s">
        <v>16</v>
      </c>
      <c r="F347" t="s">
        <v>17</v>
      </c>
      <c r="G347" s="4">
        <v>17</v>
      </c>
      <c r="H347" t="s">
        <v>46</v>
      </c>
      <c r="I347" s="4">
        <v>1706</v>
      </c>
      <c r="J347" t="s">
        <v>27</v>
      </c>
      <c r="K347" t="s">
        <v>20</v>
      </c>
      <c r="L347" t="s">
        <v>21</v>
      </c>
      <c r="M347" t="s">
        <v>31</v>
      </c>
      <c r="N347">
        <v>3</v>
      </c>
    </row>
    <row r="348" spans="1:14" x14ac:dyDescent="0.25">
      <c r="A348">
        <v>347</v>
      </c>
      <c r="B348">
        <v>36</v>
      </c>
      <c r="C348" t="s">
        <v>23</v>
      </c>
      <c r="D348" t="s">
        <v>15</v>
      </c>
      <c r="E348" t="s">
        <v>39</v>
      </c>
      <c r="F348" t="s">
        <v>42</v>
      </c>
      <c r="G348" s="4">
        <v>22</v>
      </c>
      <c r="H348" t="s">
        <v>37</v>
      </c>
      <c r="I348" s="4">
        <v>2471</v>
      </c>
      <c r="J348" t="s">
        <v>19</v>
      </c>
      <c r="K348" t="s">
        <v>38</v>
      </c>
      <c r="L348" t="s">
        <v>21</v>
      </c>
      <c r="M348" t="s">
        <v>22</v>
      </c>
      <c r="N348">
        <v>2</v>
      </c>
    </row>
    <row r="349" spans="1:14" x14ac:dyDescent="0.25">
      <c r="A349">
        <v>348</v>
      </c>
      <c r="B349">
        <v>30</v>
      </c>
      <c r="C349" t="s">
        <v>23</v>
      </c>
      <c r="D349" t="s">
        <v>32</v>
      </c>
      <c r="E349" t="s">
        <v>16</v>
      </c>
      <c r="F349" t="s">
        <v>25</v>
      </c>
      <c r="G349" s="4">
        <v>6</v>
      </c>
      <c r="H349" t="s">
        <v>46</v>
      </c>
      <c r="I349" s="4">
        <v>1755</v>
      </c>
      <c r="J349" t="s">
        <v>41</v>
      </c>
      <c r="K349" t="s">
        <v>34</v>
      </c>
      <c r="L349" t="s">
        <v>28</v>
      </c>
      <c r="M349" t="s">
        <v>22</v>
      </c>
      <c r="N349">
        <v>3</v>
      </c>
    </row>
    <row r="350" spans="1:14" x14ac:dyDescent="0.25">
      <c r="A350">
        <v>349</v>
      </c>
      <c r="B350">
        <v>19</v>
      </c>
      <c r="C350" t="s">
        <v>14</v>
      </c>
      <c r="D350" t="s">
        <v>36</v>
      </c>
      <c r="E350" t="s">
        <v>24</v>
      </c>
      <c r="F350" t="s">
        <v>17</v>
      </c>
      <c r="G350" s="4">
        <v>9</v>
      </c>
      <c r="H350" t="s">
        <v>46</v>
      </c>
      <c r="I350" s="4">
        <v>1321</v>
      </c>
      <c r="J350" t="s">
        <v>49</v>
      </c>
      <c r="K350" t="s">
        <v>34</v>
      </c>
      <c r="L350" t="s">
        <v>21</v>
      </c>
      <c r="M350" t="s">
        <v>31</v>
      </c>
      <c r="N350">
        <v>5</v>
      </c>
    </row>
    <row r="351" spans="1:14" x14ac:dyDescent="0.25">
      <c r="A351">
        <v>350</v>
      </c>
      <c r="B351">
        <v>34</v>
      </c>
      <c r="C351" t="s">
        <v>14</v>
      </c>
      <c r="D351" t="s">
        <v>36</v>
      </c>
      <c r="E351" t="s">
        <v>16</v>
      </c>
      <c r="F351" t="s">
        <v>42</v>
      </c>
      <c r="G351" s="4">
        <v>12</v>
      </c>
      <c r="H351" t="s">
        <v>26</v>
      </c>
      <c r="I351" s="4">
        <v>753</v>
      </c>
      <c r="J351" t="s">
        <v>19</v>
      </c>
      <c r="K351" t="s">
        <v>34</v>
      </c>
      <c r="L351" t="s">
        <v>21</v>
      </c>
      <c r="M351" t="s">
        <v>22</v>
      </c>
      <c r="N351">
        <v>5</v>
      </c>
    </row>
    <row r="352" spans="1:14" x14ac:dyDescent="0.25">
      <c r="A352">
        <v>351</v>
      </c>
      <c r="B352">
        <v>39</v>
      </c>
      <c r="C352" t="s">
        <v>29</v>
      </c>
      <c r="D352" t="s">
        <v>15</v>
      </c>
      <c r="E352" t="s">
        <v>24</v>
      </c>
      <c r="F352" t="s">
        <v>45</v>
      </c>
      <c r="G352" s="4">
        <v>15</v>
      </c>
      <c r="H352" t="s">
        <v>43</v>
      </c>
      <c r="I352" s="4">
        <v>1356</v>
      </c>
      <c r="J352" t="s">
        <v>41</v>
      </c>
      <c r="K352" t="s">
        <v>48</v>
      </c>
      <c r="L352" t="s">
        <v>28</v>
      </c>
      <c r="M352" t="s">
        <v>31</v>
      </c>
      <c r="N352">
        <v>3</v>
      </c>
    </row>
    <row r="353" spans="1:14" x14ac:dyDescent="0.25">
      <c r="A353">
        <v>352</v>
      </c>
      <c r="B353">
        <v>25</v>
      </c>
      <c r="C353" t="s">
        <v>14</v>
      </c>
      <c r="D353" t="s">
        <v>15</v>
      </c>
      <c r="E353" t="s">
        <v>24</v>
      </c>
      <c r="F353" t="s">
        <v>30</v>
      </c>
      <c r="G353" s="4">
        <v>25</v>
      </c>
      <c r="H353" t="s">
        <v>26</v>
      </c>
      <c r="I353" s="4">
        <v>2513</v>
      </c>
      <c r="J353" t="s">
        <v>19</v>
      </c>
      <c r="K353" t="s">
        <v>20</v>
      </c>
      <c r="L353" t="s">
        <v>28</v>
      </c>
      <c r="M353" t="s">
        <v>31</v>
      </c>
      <c r="N353">
        <v>5</v>
      </c>
    </row>
    <row r="354" spans="1:14" x14ac:dyDescent="0.25">
      <c r="A354">
        <v>353</v>
      </c>
      <c r="B354">
        <v>18</v>
      </c>
      <c r="C354" t="s">
        <v>23</v>
      </c>
      <c r="D354" t="s">
        <v>32</v>
      </c>
      <c r="E354" t="s">
        <v>39</v>
      </c>
      <c r="F354" t="s">
        <v>33</v>
      </c>
      <c r="G354" s="4">
        <v>21</v>
      </c>
      <c r="H354" t="s">
        <v>46</v>
      </c>
      <c r="I354" s="4">
        <v>1535</v>
      </c>
      <c r="J354" t="s">
        <v>27</v>
      </c>
      <c r="K354" t="s">
        <v>34</v>
      </c>
      <c r="L354" t="s">
        <v>21</v>
      </c>
      <c r="M354" t="s">
        <v>22</v>
      </c>
      <c r="N354">
        <v>5</v>
      </c>
    </row>
    <row r="355" spans="1:14" x14ac:dyDescent="0.25">
      <c r="A355">
        <v>354</v>
      </c>
      <c r="B355">
        <v>23</v>
      </c>
      <c r="C355" t="s">
        <v>14</v>
      </c>
      <c r="D355" t="s">
        <v>36</v>
      </c>
      <c r="E355" t="s">
        <v>16</v>
      </c>
      <c r="F355" t="s">
        <v>25</v>
      </c>
      <c r="G355" s="4">
        <v>29</v>
      </c>
      <c r="H355" t="s">
        <v>40</v>
      </c>
      <c r="I355" s="4">
        <v>2203</v>
      </c>
      <c r="J355" t="s">
        <v>45</v>
      </c>
      <c r="K355" t="s">
        <v>48</v>
      </c>
      <c r="L355" t="s">
        <v>21</v>
      </c>
      <c r="M355" t="s">
        <v>31</v>
      </c>
      <c r="N355">
        <v>5</v>
      </c>
    </row>
    <row r="356" spans="1:14" x14ac:dyDescent="0.25">
      <c r="A356">
        <v>355</v>
      </c>
      <c r="B356">
        <v>38</v>
      </c>
      <c r="C356" t="s">
        <v>14</v>
      </c>
      <c r="D356" t="s">
        <v>32</v>
      </c>
      <c r="E356" t="s">
        <v>24</v>
      </c>
      <c r="F356" t="s">
        <v>30</v>
      </c>
      <c r="G356" s="4">
        <v>7</v>
      </c>
      <c r="H356" t="s">
        <v>47</v>
      </c>
      <c r="I356" s="4">
        <v>2810</v>
      </c>
      <c r="J356" t="s">
        <v>19</v>
      </c>
      <c r="K356" t="s">
        <v>48</v>
      </c>
      <c r="L356" t="s">
        <v>21</v>
      </c>
      <c r="M356" t="s">
        <v>22</v>
      </c>
      <c r="N356">
        <v>2</v>
      </c>
    </row>
    <row r="357" spans="1:14" x14ac:dyDescent="0.25">
      <c r="A357">
        <v>356</v>
      </c>
      <c r="B357">
        <v>26</v>
      </c>
      <c r="C357" t="s">
        <v>14</v>
      </c>
      <c r="D357" t="s">
        <v>32</v>
      </c>
      <c r="E357" t="s">
        <v>39</v>
      </c>
      <c r="F357" t="s">
        <v>42</v>
      </c>
      <c r="G357" s="4">
        <v>22</v>
      </c>
      <c r="H357" t="s">
        <v>43</v>
      </c>
      <c r="I357" s="4">
        <v>288</v>
      </c>
      <c r="J357" t="s">
        <v>45</v>
      </c>
      <c r="K357" t="s">
        <v>20</v>
      </c>
      <c r="L357" t="s">
        <v>28</v>
      </c>
      <c r="M357" t="s">
        <v>22</v>
      </c>
      <c r="N357">
        <v>5</v>
      </c>
    </row>
    <row r="358" spans="1:14" x14ac:dyDescent="0.25">
      <c r="A358">
        <v>357</v>
      </c>
      <c r="B358">
        <v>30</v>
      </c>
      <c r="C358" t="s">
        <v>14</v>
      </c>
      <c r="D358" t="s">
        <v>36</v>
      </c>
      <c r="E358" t="s">
        <v>24</v>
      </c>
      <c r="F358" t="s">
        <v>45</v>
      </c>
      <c r="G358" s="4">
        <v>26</v>
      </c>
      <c r="H358" t="s">
        <v>18</v>
      </c>
      <c r="I358" s="4">
        <v>484</v>
      </c>
      <c r="J358" t="s">
        <v>41</v>
      </c>
      <c r="K358" t="s">
        <v>48</v>
      </c>
      <c r="L358" t="s">
        <v>28</v>
      </c>
      <c r="M358" t="s">
        <v>22</v>
      </c>
      <c r="N358">
        <v>5</v>
      </c>
    </row>
    <row r="359" spans="1:14" x14ac:dyDescent="0.25">
      <c r="A359">
        <v>358</v>
      </c>
      <c r="B359">
        <v>27</v>
      </c>
      <c r="C359" t="s">
        <v>23</v>
      </c>
      <c r="D359" t="s">
        <v>15</v>
      </c>
      <c r="E359" t="s">
        <v>39</v>
      </c>
      <c r="F359" t="s">
        <v>42</v>
      </c>
      <c r="G359" s="4">
        <v>30</v>
      </c>
      <c r="H359" t="s">
        <v>26</v>
      </c>
      <c r="I359" s="4">
        <v>2809</v>
      </c>
      <c r="J359" t="s">
        <v>45</v>
      </c>
      <c r="K359" t="s">
        <v>48</v>
      </c>
      <c r="L359" t="s">
        <v>28</v>
      </c>
      <c r="M359" t="s">
        <v>22</v>
      </c>
      <c r="N359">
        <v>3</v>
      </c>
    </row>
    <row r="360" spans="1:14" x14ac:dyDescent="0.25">
      <c r="A360">
        <v>359</v>
      </c>
      <c r="B360">
        <v>35</v>
      </c>
      <c r="C360" t="s">
        <v>23</v>
      </c>
      <c r="D360" t="s">
        <v>32</v>
      </c>
      <c r="E360" t="s">
        <v>24</v>
      </c>
      <c r="F360" t="s">
        <v>25</v>
      </c>
      <c r="G360" s="4">
        <v>12</v>
      </c>
      <c r="H360" t="s">
        <v>46</v>
      </c>
      <c r="I360" s="4">
        <v>558</v>
      </c>
      <c r="J360" t="s">
        <v>50</v>
      </c>
      <c r="K360" t="s">
        <v>48</v>
      </c>
      <c r="L360" t="s">
        <v>21</v>
      </c>
      <c r="M360" t="s">
        <v>22</v>
      </c>
      <c r="N360">
        <v>4</v>
      </c>
    </row>
    <row r="361" spans="1:14" x14ac:dyDescent="0.25">
      <c r="A361">
        <v>360</v>
      </c>
      <c r="B361">
        <v>19</v>
      </c>
      <c r="C361" t="s">
        <v>29</v>
      </c>
      <c r="D361" t="s">
        <v>36</v>
      </c>
      <c r="E361" t="s">
        <v>24</v>
      </c>
      <c r="F361" t="s">
        <v>33</v>
      </c>
      <c r="G361" s="4">
        <v>5</v>
      </c>
      <c r="H361" t="s">
        <v>46</v>
      </c>
      <c r="I361" s="4">
        <v>2345</v>
      </c>
      <c r="J361" t="s">
        <v>27</v>
      </c>
      <c r="K361" t="s">
        <v>34</v>
      </c>
      <c r="L361" t="s">
        <v>21</v>
      </c>
      <c r="M361" t="s">
        <v>31</v>
      </c>
      <c r="N361">
        <v>5</v>
      </c>
    </row>
    <row r="362" spans="1:14" x14ac:dyDescent="0.25">
      <c r="A362">
        <v>361</v>
      </c>
      <c r="B362">
        <v>38</v>
      </c>
      <c r="C362" t="s">
        <v>14</v>
      </c>
      <c r="D362" t="s">
        <v>15</v>
      </c>
      <c r="E362" t="s">
        <v>24</v>
      </c>
      <c r="F362" t="s">
        <v>30</v>
      </c>
      <c r="G362" s="4">
        <v>21</v>
      </c>
      <c r="H362" t="s">
        <v>40</v>
      </c>
      <c r="I362" s="4">
        <v>583</v>
      </c>
      <c r="J362" t="s">
        <v>19</v>
      </c>
      <c r="K362" t="s">
        <v>38</v>
      </c>
      <c r="L362" t="s">
        <v>21</v>
      </c>
      <c r="M362" t="s">
        <v>31</v>
      </c>
      <c r="N362">
        <v>2</v>
      </c>
    </row>
    <row r="363" spans="1:14" x14ac:dyDescent="0.25">
      <c r="A363">
        <v>362</v>
      </c>
      <c r="B363">
        <v>38</v>
      </c>
      <c r="C363" t="s">
        <v>23</v>
      </c>
      <c r="D363" t="s">
        <v>15</v>
      </c>
      <c r="E363" t="s">
        <v>39</v>
      </c>
      <c r="F363" t="s">
        <v>33</v>
      </c>
      <c r="G363" s="4">
        <v>22</v>
      </c>
      <c r="H363" t="s">
        <v>40</v>
      </c>
      <c r="I363" s="4">
        <v>299</v>
      </c>
      <c r="J363" t="s">
        <v>49</v>
      </c>
      <c r="K363" t="s">
        <v>34</v>
      </c>
      <c r="L363" t="s">
        <v>28</v>
      </c>
      <c r="M363" t="s">
        <v>22</v>
      </c>
      <c r="N363">
        <v>3</v>
      </c>
    </row>
    <row r="364" spans="1:14" x14ac:dyDescent="0.25">
      <c r="A364">
        <v>363</v>
      </c>
      <c r="B364">
        <v>39</v>
      </c>
      <c r="C364" t="s">
        <v>29</v>
      </c>
      <c r="D364" t="s">
        <v>36</v>
      </c>
      <c r="E364" t="s">
        <v>16</v>
      </c>
      <c r="F364" t="s">
        <v>25</v>
      </c>
      <c r="G364" s="4">
        <v>25</v>
      </c>
      <c r="H364" t="s">
        <v>34</v>
      </c>
      <c r="I364" s="4">
        <v>960</v>
      </c>
      <c r="J364" t="s">
        <v>49</v>
      </c>
      <c r="K364" t="s">
        <v>20</v>
      </c>
      <c r="L364" t="s">
        <v>28</v>
      </c>
      <c r="M364" t="s">
        <v>31</v>
      </c>
      <c r="N364">
        <v>1</v>
      </c>
    </row>
    <row r="365" spans="1:14" x14ac:dyDescent="0.25">
      <c r="A365">
        <v>364</v>
      </c>
      <c r="B365">
        <v>40</v>
      </c>
      <c r="C365" t="s">
        <v>23</v>
      </c>
      <c r="D365" t="s">
        <v>32</v>
      </c>
      <c r="E365" t="s">
        <v>39</v>
      </c>
      <c r="F365" t="s">
        <v>42</v>
      </c>
      <c r="G365" s="4">
        <v>23</v>
      </c>
      <c r="H365" t="s">
        <v>37</v>
      </c>
      <c r="I365" s="4">
        <v>624</v>
      </c>
      <c r="J365" t="s">
        <v>41</v>
      </c>
      <c r="K365" t="s">
        <v>34</v>
      </c>
      <c r="L365" t="s">
        <v>21</v>
      </c>
      <c r="M365" t="s">
        <v>22</v>
      </c>
      <c r="N365">
        <v>5</v>
      </c>
    </row>
    <row r="366" spans="1:14" x14ac:dyDescent="0.25">
      <c r="A366">
        <v>365</v>
      </c>
      <c r="B366">
        <v>40</v>
      </c>
      <c r="C366" t="s">
        <v>29</v>
      </c>
      <c r="D366" t="s">
        <v>32</v>
      </c>
      <c r="E366" t="s">
        <v>16</v>
      </c>
      <c r="F366" t="s">
        <v>17</v>
      </c>
      <c r="G366" s="4">
        <v>28</v>
      </c>
      <c r="H366" t="s">
        <v>34</v>
      </c>
      <c r="I366" s="4">
        <v>2624</v>
      </c>
      <c r="J366" t="s">
        <v>49</v>
      </c>
      <c r="K366" t="s">
        <v>20</v>
      </c>
      <c r="L366" t="s">
        <v>28</v>
      </c>
      <c r="M366" t="s">
        <v>31</v>
      </c>
      <c r="N366">
        <v>4</v>
      </c>
    </row>
    <row r="367" spans="1:14" x14ac:dyDescent="0.25">
      <c r="A367">
        <v>366</v>
      </c>
      <c r="B367">
        <v>27</v>
      </c>
      <c r="C367" t="s">
        <v>14</v>
      </c>
      <c r="D367" t="s">
        <v>36</v>
      </c>
      <c r="E367" t="s">
        <v>24</v>
      </c>
      <c r="F367" t="s">
        <v>33</v>
      </c>
      <c r="G367" s="4">
        <v>20</v>
      </c>
      <c r="H367" t="s">
        <v>46</v>
      </c>
      <c r="I367" s="4">
        <v>2259</v>
      </c>
      <c r="J367" t="s">
        <v>44</v>
      </c>
      <c r="K367" t="s">
        <v>38</v>
      </c>
      <c r="L367" t="s">
        <v>28</v>
      </c>
      <c r="M367" t="s">
        <v>22</v>
      </c>
      <c r="N367">
        <v>1</v>
      </c>
    </row>
    <row r="368" spans="1:14" x14ac:dyDescent="0.25">
      <c r="A368">
        <v>367</v>
      </c>
      <c r="B368">
        <v>20</v>
      </c>
      <c r="C368" t="s">
        <v>23</v>
      </c>
      <c r="D368" t="s">
        <v>36</v>
      </c>
      <c r="E368" t="s">
        <v>39</v>
      </c>
      <c r="F368" t="s">
        <v>45</v>
      </c>
      <c r="G368" s="4">
        <v>5</v>
      </c>
      <c r="H368" t="s">
        <v>40</v>
      </c>
      <c r="I368" s="4">
        <v>2077</v>
      </c>
      <c r="J368" t="s">
        <v>41</v>
      </c>
      <c r="K368" t="s">
        <v>34</v>
      </c>
      <c r="L368" t="s">
        <v>28</v>
      </c>
      <c r="M368" t="s">
        <v>22</v>
      </c>
      <c r="N368">
        <v>1</v>
      </c>
    </row>
    <row r="369" spans="1:14" x14ac:dyDescent="0.25">
      <c r="A369">
        <v>368</v>
      </c>
      <c r="B369">
        <v>29</v>
      </c>
      <c r="C369" t="s">
        <v>23</v>
      </c>
      <c r="D369" t="s">
        <v>32</v>
      </c>
      <c r="E369" t="s">
        <v>16</v>
      </c>
      <c r="F369" t="s">
        <v>42</v>
      </c>
      <c r="G369" s="4">
        <v>17</v>
      </c>
      <c r="H369" t="s">
        <v>18</v>
      </c>
      <c r="I369" s="4">
        <v>914</v>
      </c>
      <c r="J369" t="s">
        <v>45</v>
      </c>
      <c r="K369" t="s">
        <v>34</v>
      </c>
      <c r="L369" t="s">
        <v>21</v>
      </c>
      <c r="M369" t="s">
        <v>22</v>
      </c>
      <c r="N369">
        <v>5</v>
      </c>
    </row>
    <row r="370" spans="1:14" x14ac:dyDescent="0.25">
      <c r="A370">
        <v>369</v>
      </c>
      <c r="B370">
        <v>37</v>
      </c>
      <c r="C370" t="s">
        <v>14</v>
      </c>
      <c r="D370" t="s">
        <v>32</v>
      </c>
      <c r="E370" t="s">
        <v>16</v>
      </c>
      <c r="F370" t="s">
        <v>25</v>
      </c>
      <c r="G370" s="4">
        <v>26</v>
      </c>
      <c r="H370" t="s">
        <v>37</v>
      </c>
      <c r="I370" s="4">
        <v>679</v>
      </c>
      <c r="J370" t="s">
        <v>49</v>
      </c>
      <c r="K370" t="s">
        <v>34</v>
      </c>
      <c r="L370" t="s">
        <v>21</v>
      </c>
      <c r="M370" t="s">
        <v>22</v>
      </c>
      <c r="N370">
        <v>5</v>
      </c>
    </row>
    <row r="371" spans="1:14" x14ac:dyDescent="0.25">
      <c r="A371">
        <v>370</v>
      </c>
      <c r="B371">
        <v>33</v>
      </c>
      <c r="C371" t="s">
        <v>29</v>
      </c>
      <c r="D371" t="s">
        <v>15</v>
      </c>
      <c r="E371" t="s">
        <v>16</v>
      </c>
      <c r="F371" t="s">
        <v>17</v>
      </c>
      <c r="G371" s="4">
        <v>12</v>
      </c>
      <c r="H371" t="s">
        <v>40</v>
      </c>
      <c r="I371" s="4">
        <v>257</v>
      </c>
      <c r="J371" t="s">
        <v>50</v>
      </c>
      <c r="K371" t="s">
        <v>20</v>
      </c>
      <c r="L371" t="s">
        <v>28</v>
      </c>
      <c r="M371" t="s">
        <v>31</v>
      </c>
      <c r="N371">
        <v>3</v>
      </c>
    </row>
    <row r="372" spans="1:14" x14ac:dyDescent="0.25">
      <c r="A372">
        <v>371</v>
      </c>
      <c r="B372">
        <v>19</v>
      </c>
      <c r="C372" t="s">
        <v>14</v>
      </c>
      <c r="D372" t="s">
        <v>36</v>
      </c>
      <c r="E372" t="s">
        <v>24</v>
      </c>
      <c r="F372" t="s">
        <v>17</v>
      </c>
      <c r="G372" s="4">
        <v>6</v>
      </c>
      <c r="H372" t="s">
        <v>46</v>
      </c>
      <c r="I372" s="4">
        <v>2656</v>
      </c>
      <c r="J372" t="s">
        <v>35</v>
      </c>
      <c r="K372" t="s">
        <v>38</v>
      </c>
      <c r="L372" t="s">
        <v>28</v>
      </c>
      <c r="M372" t="s">
        <v>31</v>
      </c>
      <c r="N372">
        <v>3</v>
      </c>
    </row>
    <row r="373" spans="1:14" x14ac:dyDescent="0.25">
      <c r="A373">
        <v>372</v>
      </c>
      <c r="B373">
        <v>29</v>
      </c>
      <c r="C373" t="s">
        <v>23</v>
      </c>
      <c r="D373" t="s">
        <v>32</v>
      </c>
      <c r="E373" t="s">
        <v>39</v>
      </c>
      <c r="F373" t="s">
        <v>25</v>
      </c>
      <c r="G373" s="4">
        <v>23</v>
      </c>
      <c r="H373" t="s">
        <v>26</v>
      </c>
      <c r="I373" s="4">
        <v>2676</v>
      </c>
      <c r="J373" t="s">
        <v>50</v>
      </c>
      <c r="K373" t="s">
        <v>34</v>
      </c>
      <c r="L373" t="s">
        <v>28</v>
      </c>
      <c r="M373" t="s">
        <v>31</v>
      </c>
      <c r="N373">
        <v>1</v>
      </c>
    </row>
    <row r="374" spans="1:14" x14ac:dyDescent="0.25">
      <c r="A374">
        <v>373</v>
      </c>
      <c r="B374">
        <v>37</v>
      </c>
      <c r="C374" t="s">
        <v>29</v>
      </c>
      <c r="D374" t="s">
        <v>15</v>
      </c>
      <c r="E374" t="s">
        <v>16</v>
      </c>
      <c r="F374" t="s">
        <v>33</v>
      </c>
      <c r="G374" s="4">
        <v>5</v>
      </c>
      <c r="H374" t="s">
        <v>46</v>
      </c>
      <c r="I374" s="4">
        <v>2055</v>
      </c>
      <c r="J374" t="s">
        <v>27</v>
      </c>
      <c r="K374" t="s">
        <v>38</v>
      </c>
      <c r="L374" t="s">
        <v>21</v>
      </c>
      <c r="M374" t="s">
        <v>22</v>
      </c>
      <c r="N374">
        <v>2</v>
      </c>
    </row>
    <row r="375" spans="1:14" x14ac:dyDescent="0.25">
      <c r="A375">
        <v>374</v>
      </c>
      <c r="B375">
        <v>29</v>
      </c>
      <c r="C375" t="s">
        <v>23</v>
      </c>
      <c r="D375" t="s">
        <v>15</v>
      </c>
      <c r="E375" t="s">
        <v>39</v>
      </c>
      <c r="F375" t="s">
        <v>30</v>
      </c>
      <c r="G375" s="4">
        <v>24</v>
      </c>
      <c r="H375" t="s">
        <v>18</v>
      </c>
      <c r="I375" s="4">
        <v>2938</v>
      </c>
      <c r="J375" t="s">
        <v>49</v>
      </c>
      <c r="K375" t="s">
        <v>20</v>
      </c>
      <c r="L375" t="s">
        <v>28</v>
      </c>
      <c r="M375" t="s">
        <v>22</v>
      </c>
      <c r="N375">
        <v>1</v>
      </c>
    </row>
    <row r="376" spans="1:14" x14ac:dyDescent="0.25">
      <c r="A376">
        <v>375</v>
      </c>
      <c r="B376">
        <v>36</v>
      </c>
      <c r="C376" t="s">
        <v>14</v>
      </c>
      <c r="D376" t="s">
        <v>15</v>
      </c>
      <c r="E376" t="s">
        <v>16</v>
      </c>
      <c r="F376" t="s">
        <v>25</v>
      </c>
      <c r="G376" s="4">
        <v>10</v>
      </c>
      <c r="H376" t="s">
        <v>37</v>
      </c>
      <c r="I376" s="4">
        <v>2651</v>
      </c>
      <c r="J376" t="s">
        <v>44</v>
      </c>
      <c r="K376" t="s">
        <v>48</v>
      </c>
      <c r="L376" t="s">
        <v>21</v>
      </c>
      <c r="M376" t="s">
        <v>22</v>
      </c>
      <c r="N376">
        <v>4</v>
      </c>
    </row>
    <row r="377" spans="1:14" x14ac:dyDescent="0.25">
      <c r="A377">
        <v>376</v>
      </c>
      <c r="B377">
        <v>23</v>
      </c>
      <c r="C377" t="s">
        <v>29</v>
      </c>
      <c r="D377" t="s">
        <v>36</v>
      </c>
      <c r="E377" t="s">
        <v>24</v>
      </c>
      <c r="F377" t="s">
        <v>17</v>
      </c>
      <c r="G377" s="4">
        <v>13</v>
      </c>
      <c r="H377" t="s">
        <v>47</v>
      </c>
      <c r="I377" s="4">
        <v>737</v>
      </c>
      <c r="J377" t="s">
        <v>35</v>
      </c>
      <c r="K377" t="s">
        <v>48</v>
      </c>
      <c r="L377" t="s">
        <v>21</v>
      </c>
      <c r="M377" t="s">
        <v>31</v>
      </c>
      <c r="N377">
        <v>5</v>
      </c>
    </row>
    <row r="378" spans="1:14" x14ac:dyDescent="0.25">
      <c r="A378">
        <v>377</v>
      </c>
      <c r="B378">
        <v>37</v>
      </c>
      <c r="C378" t="s">
        <v>14</v>
      </c>
      <c r="D378" t="s">
        <v>32</v>
      </c>
      <c r="E378" t="s">
        <v>24</v>
      </c>
      <c r="F378" t="s">
        <v>25</v>
      </c>
      <c r="G378" s="4">
        <v>20</v>
      </c>
      <c r="H378" t="s">
        <v>37</v>
      </c>
      <c r="I378" s="4">
        <v>1972</v>
      </c>
      <c r="J378" t="s">
        <v>35</v>
      </c>
      <c r="K378" t="s">
        <v>38</v>
      </c>
      <c r="L378" t="s">
        <v>28</v>
      </c>
      <c r="M378" t="s">
        <v>31</v>
      </c>
      <c r="N378">
        <v>2</v>
      </c>
    </row>
    <row r="379" spans="1:14" x14ac:dyDescent="0.25">
      <c r="A379">
        <v>378</v>
      </c>
      <c r="B379">
        <v>37</v>
      </c>
      <c r="C379" t="s">
        <v>29</v>
      </c>
      <c r="D379" t="s">
        <v>32</v>
      </c>
      <c r="E379" t="s">
        <v>16</v>
      </c>
      <c r="F379" t="s">
        <v>33</v>
      </c>
      <c r="G379" s="4">
        <v>23</v>
      </c>
      <c r="H379" t="s">
        <v>47</v>
      </c>
      <c r="I379" s="4">
        <v>281</v>
      </c>
      <c r="J379" t="s">
        <v>27</v>
      </c>
      <c r="K379" t="s">
        <v>20</v>
      </c>
      <c r="L379" t="s">
        <v>21</v>
      </c>
      <c r="M379" t="s">
        <v>22</v>
      </c>
      <c r="N379">
        <v>2</v>
      </c>
    </row>
    <row r="380" spans="1:14" x14ac:dyDescent="0.25">
      <c r="A380">
        <v>379</v>
      </c>
      <c r="B380">
        <v>23</v>
      </c>
      <c r="C380" t="s">
        <v>14</v>
      </c>
      <c r="D380" t="s">
        <v>36</v>
      </c>
      <c r="E380" t="s">
        <v>24</v>
      </c>
      <c r="F380" t="s">
        <v>33</v>
      </c>
      <c r="G380" s="4">
        <v>20</v>
      </c>
      <c r="H380" t="s">
        <v>18</v>
      </c>
      <c r="I380" s="4">
        <v>2518</v>
      </c>
      <c r="J380" t="s">
        <v>49</v>
      </c>
      <c r="K380" t="s">
        <v>38</v>
      </c>
      <c r="L380" t="s">
        <v>21</v>
      </c>
      <c r="M380" t="s">
        <v>31</v>
      </c>
      <c r="N380">
        <v>5</v>
      </c>
    </row>
    <row r="381" spans="1:14" x14ac:dyDescent="0.25">
      <c r="A381">
        <v>380</v>
      </c>
      <c r="B381">
        <v>34</v>
      </c>
      <c r="C381" t="s">
        <v>23</v>
      </c>
      <c r="D381" t="s">
        <v>36</v>
      </c>
      <c r="E381" t="s">
        <v>39</v>
      </c>
      <c r="F381" t="s">
        <v>25</v>
      </c>
      <c r="G381" s="4">
        <v>18</v>
      </c>
      <c r="H381" t="s">
        <v>43</v>
      </c>
      <c r="I381" s="4">
        <v>1517</v>
      </c>
      <c r="J381" t="s">
        <v>45</v>
      </c>
      <c r="K381" t="s">
        <v>34</v>
      </c>
      <c r="L381" t="s">
        <v>21</v>
      </c>
      <c r="M381" t="s">
        <v>31</v>
      </c>
      <c r="N381">
        <v>1</v>
      </c>
    </row>
    <row r="382" spans="1:14" x14ac:dyDescent="0.25">
      <c r="A382">
        <v>381</v>
      </c>
      <c r="B382">
        <v>22</v>
      </c>
      <c r="C382" t="s">
        <v>14</v>
      </c>
      <c r="D382" t="s">
        <v>32</v>
      </c>
      <c r="E382" t="s">
        <v>24</v>
      </c>
      <c r="F382" t="s">
        <v>45</v>
      </c>
      <c r="G382" s="4">
        <v>13</v>
      </c>
      <c r="H382" t="s">
        <v>26</v>
      </c>
      <c r="I382" s="4">
        <v>1954</v>
      </c>
      <c r="J382" t="s">
        <v>35</v>
      </c>
      <c r="K382" t="s">
        <v>38</v>
      </c>
      <c r="L382" t="s">
        <v>21</v>
      </c>
      <c r="M382" t="s">
        <v>22</v>
      </c>
      <c r="N382">
        <v>2</v>
      </c>
    </row>
    <row r="383" spans="1:14" x14ac:dyDescent="0.25">
      <c r="A383">
        <v>382</v>
      </c>
      <c r="B383">
        <v>36</v>
      </c>
      <c r="C383" t="s">
        <v>14</v>
      </c>
      <c r="D383" t="s">
        <v>32</v>
      </c>
      <c r="E383" t="s">
        <v>24</v>
      </c>
      <c r="F383" t="s">
        <v>25</v>
      </c>
      <c r="G383" s="4">
        <v>21</v>
      </c>
      <c r="H383" t="s">
        <v>34</v>
      </c>
      <c r="I383" s="4">
        <v>482</v>
      </c>
      <c r="J383" t="s">
        <v>45</v>
      </c>
      <c r="K383" t="s">
        <v>34</v>
      </c>
      <c r="L383" t="s">
        <v>21</v>
      </c>
      <c r="M383" t="s">
        <v>22</v>
      </c>
      <c r="N383">
        <v>5</v>
      </c>
    </row>
    <row r="384" spans="1:14" x14ac:dyDescent="0.25">
      <c r="A384">
        <v>383</v>
      </c>
      <c r="B384">
        <v>31</v>
      </c>
      <c r="C384" t="s">
        <v>29</v>
      </c>
      <c r="D384" t="s">
        <v>36</v>
      </c>
      <c r="E384" t="s">
        <v>39</v>
      </c>
      <c r="F384" t="s">
        <v>45</v>
      </c>
      <c r="G384" s="4">
        <v>25</v>
      </c>
      <c r="H384" t="s">
        <v>34</v>
      </c>
      <c r="I384" s="4">
        <v>2397</v>
      </c>
      <c r="J384" t="s">
        <v>35</v>
      </c>
      <c r="K384" t="s">
        <v>20</v>
      </c>
      <c r="L384" t="s">
        <v>21</v>
      </c>
      <c r="M384" t="s">
        <v>31</v>
      </c>
      <c r="N384">
        <v>3</v>
      </c>
    </row>
    <row r="385" spans="1:14" x14ac:dyDescent="0.25">
      <c r="A385">
        <v>384</v>
      </c>
      <c r="B385">
        <v>35</v>
      </c>
      <c r="C385" t="s">
        <v>14</v>
      </c>
      <c r="D385" t="s">
        <v>32</v>
      </c>
      <c r="E385" t="s">
        <v>24</v>
      </c>
      <c r="F385" t="s">
        <v>45</v>
      </c>
      <c r="G385" s="4">
        <v>30</v>
      </c>
      <c r="H385" t="s">
        <v>43</v>
      </c>
      <c r="I385" s="4">
        <v>2283</v>
      </c>
      <c r="J385" t="s">
        <v>35</v>
      </c>
      <c r="K385" t="s">
        <v>34</v>
      </c>
      <c r="L385" t="s">
        <v>28</v>
      </c>
      <c r="M385" t="s">
        <v>31</v>
      </c>
      <c r="N385">
        <v>4</v>
      </c>
    </row>
    <row r="386" spans="1:14" x14ac:dyDescent="0.25">
      <c r="A386">
        <v>385</v>
      </c>
      <c r="B386">
        <v>22</v>
      </c>
      <c r="C386" t="s">
        <v>29</v>
      </c>
      <c r="D386" t="s">
        <v>36</v>
      </c>
      <c r="E386" t="s">
        <v>16</v>
      </c>
      <c r="F386" t="s">
        <v>33</v>
      </c>
      <c r="G386" s="4">
        <v>26</v>
      </c>
      <c r="H386" t="s">
        <v>40</v>
      </c>
      <c r="I386" s="4">
        <v>487</v>
      </c>
      <c r="J386" t="s">
        <v>45</v>
      </c>
      <c r="K386" t="s">
        <v>34</v>
      </c>
      <c r="L386" t="s">
        <v>21</v>
      </c>
      <c r="M386" t="s">
        <v>22</v>
      </c>
      <c r="N386">
        <v>2</v>
      </c>
    </row>
    <row r="387" spans="1:14" x14ac:dyDescent="0.25">
      <c r="A387">
        <v>386</v>
      </c>
      <c r="B387">
        <v>30</v>
      </c>
      <c r="C387" t="s">
        <v>14</v>
      </c>
      <c r="D387" t="s">
        <v>32</v>
      </c>
      <c r="E387" t="s">
        <v>24</v>
      </c>
      <c r="F387" t="s">
        <v>42</v>
      </c>
      <c r="G387" s="4">
        <v>25</v>
      </c>
      <c r="H387" t="s">
        <v>18</v>
      </c>
      <c r="I387" s="4">
        <v>21</v>
      </c>
      <c r="J387" t="s">
        <v>19</v>
      </c>
      <c r="K387" t="s">
        <v>34</v>
      </c>
      <c r="L387" t="s">
        <v>21</v>
      </c>
      <c r="M387" t="s">
        <v>31</v>
      </c>
      <c r="N387">
        <v>1</v>
      </c>
    </row>
    <row r="388" spans="1:14" x14ac:dyDescent="0.25">
      <c r="A388">
        <v>387</v>
      </c>
      <c r="B388">
        <v>20</v>
      </c>
      <c r="C388" t="s">
        <v>29</v>
      </c>
      <c r="D388" t="s">
        <v>36</v>
      </c>
      <c r="E388" t="s">
        <v>24</v>
      </c>
      <c r="F388" t="s">
        <v>45</v>
      </c>
      <c r="G388" s="4">
        <v>24</v>
      </c>
      <c r="H388" t="s">
        <v>46</v>
      </c>
      <c r="I388" s="4">
        <v>154</v>
      </c>
      <c r="J388" t="s">
        <v>41</v>
      </c>
      <c r="K388" t="s">
        <v>38</v>
      </c>
      <c r="L388" t="s">
        <v>28</v>
      </c>
      <c r="M388" t="s">
        <v>31</v>
      </c>
      <c r="N388">
        <v>4</v>
      </c>
    </row>
    <row r="389" spans="1:14" x14ac:dyDescent="0.25">
      <c r="A389">
        <v>388</v>
      </c>
      <c r="B389">
        <v>18</v>
      </c>
      <c r="C389" t="s">
        <v>29</v>
      </c>
      <c r="D389" t="s">
        <v>15</v>
      </c>
      <c r="E389" t="s">
        <v>16</v>
      </c>
      <c r="F389" t="s">
        <v>45</v>
      </c>
      <c r="G389" s="4">
        <v>11</v>
      </c>
      <c r="H389" t="s">
        <v>40</v>
      </c>
      <c r="I389" s="4">
        <v>2690</v>
      </c>
      <c r="J389" t="s">
        <v>44</v>
      </c>
      <c r="K389" t="s">
        <v>48</v>
      </c>
      <c r="L389" t="s">
        <v>28</v>
      </c>
      <c r="M389" t="s">
        <v>22</v>
      </c>
      <c r="N389">
        <v>5</v>
      </c>
    </row>
    <row r="390" spans="1:14" x14ac:dyDescent="0.25">
      <c r="A390">
        <v>389</v>
      </c>
      <c r="B390">
        <v>38</v>
      </c>
      <c r="C390" t="s">
        <v>29</v>
      </c>
      <c r="D390" t="s">
        <v>32</v>
      </c>
      <c r="E390" t="s">
        <v>39</v>
      </c>
      <c r="F390" t="s">
        <v>17</v>
      </c>
      <c r="G390" s="4">
        <v>5</v>
      </c>
      <c r="H390" t="s">
        <v>26</v>
      </c>
      <c r="I390" s="4">
        <v>644</v>
      </c>
      <c r="J390" t="s">
        <v>45</v>
      </c>
      <c r="K390" t="s">
        <v>38</v>
      </c>
      <c r="L390" t="s">
        <v>21</v>
      </c>
      <c r="M390" t="s">
        <v>22</v>
      </c>
      <c r="N390">
        <v>1</v>
      </c>
    </row>
    <row r="391" spans="1:14" x14ac:dyDescent="0.25">
      <c r="A391">
        <v>390</v>
      </c>
      <c r="B391">
        <v>20</v>
      </c>
      <c r="C391" t="s">
        <v>23</v>
      </c>
      <c r="D391" t="s">
        <v>32</v>
      </c>
      <c r="E391" t="s">
        <v>39</v>
      </c>
      <c r="F391" t="s">
        <v>30</v>
      </c>
      <c r="G391" s="4">
        <v>22</v>
      </c>
      <c r="H391" t="s">
        <v>40</v>
      </c>
      <c r="I391" s="4">
        <v>1165</v>
      </c>
      <c r="J391" t="s">
        <v>27</v>
      </c>
      <c r="K391" t="s">
        <v>20</v>
      </c>
      <c r="L391" t="s">
        <v>28</v>
      </c>
      <c r="M391" t="s">
        <v>22</v>
      </c>
      <c r="N391">
        <v>5</v>
      </c>
    </row>
    <row r="392" spans="1:14" x14ac:dyDescent="0.25">
      <c r="A392">
        <v>391</v>
      </c>
      <c r="B392">
        <v>26</v>
      </c>
      <c r="C392" t="s">
        <v>14</v>
      </c>
      <c r="D392" t="s">
        <v>36</v>
      </c>
      <c r="E392" t="s">
        <v>16</v>
      </c>
      <c r="F392" t="s">
        <v>45</v>
      </c>
      <c r="G392" s="4">
        <v>10</v>
      </c>
      <c r="H392" t="s">
        <v>46</v>
      </c>
      <c r="I392" s="4">
        <v>1667</v>
      </c>
      <c r="J392" t="s">
        <v>50</v>
      </c>
      <c r="K392" t="s">
        <v>48</v>
      </c>
      <c r="L392" t="s">
        <v>28</v>
      </c>
      <c r="M392" t="s">
        <v>31</v>
      </c>
      <c r="N392">
        <v>5</v>
      </c>
    </row>
    <row r="393" spans="1:14" x14ac:dyDescent="0.25">
      <c r="A393">
        <v>392</v>
      </c>
      <c r="B393">
        <v>40</v>
      </c>
      <c r="C393" t="s">
        <v>29</v>
      </c>
      <c r="D393" t="s">
        <v>15</v>
      </c>
      <c r="E393" t="s">
        <v>39</v>
      </c>
      <c r="F393" t="s">
        <v>42</v>
      </c>
      <c r="G393" s="4">
        <v>19</v>
      </c>
      <c r="H393" t="s">
        <v>43</v>
      </c>
      <c r="I393" s="4">
        <v>1544</v>
      </c>
      <c r="J393" t="s">
        <v>41</v>
      </c>
      <c r="K393" t="s">
        <v>20</v>
      </c>
      <c r="L393" t="s">
        <v>21</v>
      </c>
      <c r="M393" t="s">
        <v>31</v>
      </c>
      <c r="N393">
        <v>5</v>
      </c>
    </row>
    <row r="394" spans="1:14" x14ac:dyDescent="0.25">
      <c r="A394">
        <v>393</v>
      </c>
      <c r="B394">
        <v>20</v>
      </c>
      <c r="C394" t="s">
        <v>23</v>
      </c>
      <c r="D394" t="s">
        <v>36</v>
      </c>
      <c r="E394" t="s">
        <v>16</v>
      </c>
      <c r="F394" t="s">
        <v>30</v>
      </c>
      <c r="G394" s="4">
        <v>17</v>
      </c>
      <c r="H394" t="s">
        <v>26</v>
      </c>
      <c r="I394" s="4">
        <v>2595</v>
      </c>
      <c r="J394" t="s">
        <v>50</v>
      </c>
      <c r="K394" t="s">
        <v>48</v>
      </c>
      <c r="L394" t="s">
        <v>28</v>
      </c>
      <c r="M394" t="s">
        <v>22</v>
      </c>
      <c r="N394">
        <v>2</v>
      </c>
    </row>
    <row r="395" spans="1:14" x14ac:dyDescent="0.25">
      <c r="A395">
        <v>394</v>
      </c>
      <c r="B395">
        <v>27</v>
      </c>
      <c r="C395" t="s">
        <v>14</v>
      </c>
      <c r="D395" t="s">
        <v>36</v>
      </c>
      <c r="E395" t="s">
        <v>16</v>
      </c>
      <c r="F395" t="s">
        <v>42</v>
      </c>
      <c r="G395" s="4">
        <v>7</v>
      </c>
      <c r="H395" t="s">
        <v>34</v>
      </c>
      <c r="I395" s="4">
        <v>1634</v>
      </c>
      <c r="J395" t="s">
        <v>50</v>
      </c>
      <c r="K395" t="s">
        <v>38</v>
      </c>
      <c r="L395" t="s">
        <v>28</v>
      </c>
      <c r="M395" t="s">
        <v>22</v>
      </c>
      <c r="N395">
        <v>3</v>
      </c>
    </row>
    <row r="396" spans="1:14" x14ac:dyDescent="0.25">
      <c r="A396">
        <v>395</v>
      </c>
      <c r="B396">
        <v>39</v>
      </c>
      <c r="C396" t="s">
        <v>14</v>
      </c>
      <c r="D396" t="s">
        <v>36</v>
      </c>
      <c r="E396" t="s">
        <v>16</v>
      </c>
      <c r="F396" t="s">
        <v>30</v>
      </c>
      <c r="G396" s="4">
        <v>11</v>
      </c>
      <c r="H396" t="s">
        <v>40</v>
      </c>
      <c r="I396" s="4">
        <v>2043</v>
      </c>
      <c r="J396" t="s">
        <v>27</v>
      </c>
      <c r="K396" t="s">
        <v>38</v>
      </c>
      <c r="L396" t="s">
        <v>21</v>
      </c>
      <c r="M396" t="s">
        <v>31</v>
      </c>
      <c r="N396">
        <v>2</v>
      </c>
    </row>
    <row r="397" spans="1:14" x14ac:dyDescent="0.25">
      <c r="A397">
        <v>396</v>
      </c>
      <c r="B397">
        <v>22</v>
      </c>
      <c r="C397" t="s">
        <v>14</v>
      </c>
      <c r="D397" t="s">
        <v>36</v>
      </c>
      <c r="E397" t="s">
        <v>24</v>
      </c>
      <c r="F397" t="s">
        <v>42</v>
      </c>
      <c r="G397" s="4">
        <v>29</v>
      </c>
      <c r="H397" t="s">
        <v>47</v>
      </c>
      <c r="I397" s="4">
        <v>436</v>
      </c>
      <c r="J397" t="s">
        <v>41</v>
      </c>
      <c r="K397" t="s">
        <v>20</v>
      </c>
      <c r="L397" t="s">
        <v>28</v>
      </c>
      <c r="M397" t="s">
        <v>31</v>
      </c>
      <c r="N397">
        <v>1</v>
      </c>
    </row>
    <row r="398" spans="1:14" x14ac:dyDescent="0.25">
      <c r="A398">
        <v>397</v>
      </c>
      <c r="B398">
        <v>33</v>
      </c>
      <c r="C398" t="s">
        <v>14</v>
      </c>
      <c r="D398" t="s">
        <v>36</v>
      </c>
      <c r="E398" t="s">
        <v>39</v>
      </c>
      <c r="F398" t="s">
        <v>42</v>
      </c>
      <c r="G398" s="4">
        <v>23</v>
      </c>
      <c r="H398" t="s">
        <v>40</v>
      </c>
      <c r="I398" s="4">
        <v>1125</v>
      </c>
      <c r="J398" t="s">
        <v>44</v>
      </c>
      <c r="K398" t="s">
        <v>48</v>
      </c>
      <c r="L398" t="s">
        <v>28</v>
      </c>
      <c r="M398" t="s">
        <v>31</v>
      </c>
      <c r="N398">
        <v>4</v>
      </c>
    </row>
    <row r="399" spans="1:14" x14ac:dyDescent="0.25">
      <c r="A399">
        <v>398</v>
      </c>
      <c r="B399">
        <v>35</v>
      </c>
      <c r="C399" t="s">
        <v>29</v>
      </c>
      <c r="D399" t="s">
        <v>36</v>
      </c>
      <c r="E399" t="s">
        <v>16</v>
      </c>
      <c r="F399" t="s">
        <v>42</v>
      </c>
      <c r="G399" s="4">
        <v>6</v>
      </c>
      <c r="H399" t="s">
        <v>18</v>
      </c>
      <c r="I399" s="4">
        <v>2058</v>
      </c>
      <c r="J399" t="s">
        <v>49</v>
      </c>
      <c r="K399" t="s">
        <v>34</v>
      </c>
      <c r="L399" t="s">
        <v>21</v>
      </c>
      <c r="M399" t="s">
        <v>22</v>
      </c>
      <c r="N399">
        <v>3</v>
      </c>
    </row>
    <row r="400" spans="1:14" x14ac:dyDescent="0.25">
      <c r="A400">
        <v>399</v>
      </c>
      <c r="B400">
        <v>39</v>
      </c>
      <c r="C400" t="s">
        <v>14</v>
      </c>
      <c r="D400" t="s">
        <v>32</v>
      </c>
      <c r="E400" t="s">
        <v>39</v>
      </c>
      <c r="F400" t="s">
        <v>45</v>
      </c>
      <c r="G400" s="4">
        <v>11</v>
      </c>
      <c r="H400" t="s">
        <v>46</v>
      </c>
      <c r="I400" s="4">
        <v>1554</v>
      </c>
      <c r="J400" t="s">
        <v>44</v>
      </c>
      <c r="K400" t="s">
        <v>34</v>
      </c>
      <c r="L400" t="s">
        <v>21</v>
      </c>
      <c r="M400" t="s">
        <v>31</v>
      </c>
      <c r="N400">
        <v>5</v>
      </c>
    </row>
    <row r="401" spans="1:14" x14ac:dyDescent="0.25">
      <c r="A401">
        <v>400</v>
      </c>
      <c r="B401">
        <v>33</v>
      </c>
      <c r="C401" t="s">
        <v>14</v>
      </c>
      <c r="D401" t="s">
        <v>32</v>
      </c>
      <c r="E401" t="s">
        <v>39</v>
      </c>
      <c r="F401" t="s">
        <v>25</v>
      </c>
      <c r="G401" s="4">
        <v>24</v>
      </c>
      <c r="H401" t="s">
        <v>26</v>
      </c>
      <c r="I401" s="4">
        <v>1405</v>
      </c>
      <c r="J401" t="s">
        <v>50</v>
      </c>
      <c r="K401" t="s">
        <v>34</v>
      </c>
      <c r="L401" t="s">
        <v>28</v>
      </c>
      <c r="M401" t="s">
        <v>31</v>
      </c>
      <c r="N401">
        <v>3</v>
      </c>
    </row>
    <row r="402" spans="1:14" x14ac:dyDescent="0.25">
      <c r="A402">
        <v>401</v>
      </c>
      <c r="B402">
        <v>32</v>
      </c>
      <c r="C402" t="s">
        <v>23</v>
      </c>
      <c r="D402" t="s">
        <v>36</v>
      </c>
      <c r="E402" t="s">
        <v>16</v>
      </c>
      <c r="F402" t="s">
        <v>33</v>
      </c>
      <c r="G402" s="4">
        <v>10</v>
      </c>
      <c r="H402" t="s">
        <v>46</v>
      </c>
      <c r="I402" s="4">
        <v>2340</v>
      </c>
      <c r="J402" t="s">
        <v>27</v>
      </c>
      <c r="K402" t="s">
        <v>20</v>
      </c>
      <c r="L402" t="s">
        <v>28</v>
      </c>
      <c r="M402" t="s">
        <v>22</v>
      </c>
      <c r="N402">
        <v>2</v>
      </c>
    </row>
    <row r="403" spans="1:14" x14ac:dyDescent="0.25">
      <c r="A403">
        <v>402</v>
      </c>
      <c r="B403">
        <v>22</v>
      </c>
      <c r="C403" t="s">
        <v>14</v>
      </c>
      <c r="D403" t="s">
        <v>15</v>
      </c>
      <c r="E403" t="s">
        <v>39</v>
      </c>
      <c r="F403" t="s">
        <v>42</v>
      </c>
      <c r="G403" s="4">
        <v>30</v>
      </c>
      <c r="H403" t="s">
        <v>37</v>
      </c>
      <c r="I403" s="4">
        <v>612</v>
      </c>
      <c r="J403" t="s">
        <v>50</v>
      </c>
      <c r="K403" t="s">
        <v>20</v>
      </c>
      <c r="L403" t="s">
        <v>28</v>
      </c>
      <c r="M403" t="s">
        <v>31</v>
      </c>
      <c r="N403">
        <v>4</v>
      </c>
    </row>
    <row r="404" spans="1:14" x14ac:dyDescent="0.25">
      <c r="A404">
        <v>403</v>
      </c>
      <c r="B404">
        <v>35</v>
      </c>
      <c r="C404" t="s">
        <v>14</v>
      </c>
      <c r="D404" t="s">
        <v>36</v>
      </c>
      <c r="E404" t="s">
        <v>16</v>
      </c>
      <c r="F404" t="s">
        <v>33</v>
      </c>
      <c r="G404" s="4">
        <v>23</v>
      </c>
      <c r="H404" t="s">
        <v>40</v>
      </c>
      <c r="I404" s="4">
        <v>195</v>
      </c>
      <c r="J404" t="s">
        <v>35</v>
      </c>
      <c r="K404" t="s">
        <v>20</v>
      </c>
      <c r="L404" t="s">
        <v>21</v>
      </c>
      <c r="M404" t="s">
        <v>31</v>
      </c>
      <c r="N404">
        <v>4</v>
      </c>
    </row>
    <row r="405" spans="1:14" x14ac:dyDescent="0.25">
      <c r="A405">
        <v>404</v>
      </c>
      <c r="B405">
        <v>28</v>
      </c>
      <c r="C405" t="s">
        <v>23</v>
      </c>
      <c r="D405" t="s">
        <v>36</v>
      </c>
      <c r="E405" t="s">
        <v>39</v>
      </c>
      <c r="F405" t="s">
        <v>30</v>
      </c>
      <c r="G405" s="4">
        <v>13</v>
      </c>
      <c r="H405" t="s">
        <v>47</v>
      </c>
      <c r="I405" s="4">
        <v>1478</v>
      </c>
      <c r="J405" t="s">
        <v>45</v>
      </c>
      <c r="K405" t="s">
        <v>48</v>
      </c>
      <c r="L405" t="s">
        <v>28</v>
      </c>
      <c r="M405" t="s">
        <v>22</v>
      </c>
      <c r="N405">
        <v>3</v>
      </c>
    </row>
    <row r="406" spans="1:14" x14ac:dyDescent="0.25">
      <c r="A406">
        <v>405</v>
      </c>
      <c r="B406">
        <v>36</v>
      </c>
      <c r="C406" t="s">
        <v>14</v>
      </c>
      <c r="D406" t="s">
        <v>32</v>
      </c>
      <c r="E406" t="s">
        <v>39</v>
      </c>
      <c r="F406" t="s">
        <v>30</v>
      </c>
      <c r="G406" s="4">
        <v>23</v>
      </c>
      <c r="H406" t="s">
        <v>43</v>
      </c>
      <c r="I406" s="4">
        <v>2661</v>
      </c>
      <c r="J406" t="s">
        <v>49</v>
      </c>
      <c r="K406" t="s">
        <v>48</v>
      </c>
      <c r="L406" t="s">
        <v>28</v>
      </c>
      <c r="M406" t="s">
        <v>31</v>
      </c>
      <c r="N406">
        <v>5</v>
      </c>
    </row>
    <row r="407" spans="1:14" x14ac:dyDescent="0.25">
      <c r="A407">
        <v>406</v>
      </c>
      <c r="B407">
        <v>32</v>
      </c>
      <c r="C407" t="s">
        <v>23</v>
      </c>
      <c r="D407" t="s">
        <v>32</v>
      </c>
      <c r="E407" t="s">
        <v>39</v>
      </c>
      <c r="F407" t="s">
        <v>17</v>
      </c>
      <c r="G407" s="4">
        <v>25</v>
      </c>
      <c r="H407" t="s">
        <v>26</v>
      </c>
      <c r="I407" s="4">
        <v>593</v>
      </c>
      <c r="J407" t="s">
        <v>19</v>
      </c>
      <c r="K407" t="s">
        <v>48</v>
      </c>
      <c r="L407" t="s">
        <v>21</v>
      </c>
      <c r="M407" t="s">
        <v>31</v>
      </c>
      <c r="N407">
        <v>2</v>
      </c>
    </row>
    <row r="408" spans="1:14" x14ac:dyDescent="0.25">
      <c r="A408">
        <v>407</v>
      </c>
      <c r="B408">
        <v>25</v>
      </c>
      <c r="C408" t="s">
        <v>23</v>
      </c>
      <c r="D408" t="s">
        <v>32</v>
      </c>
      <c r="E408" t="s">
        <v>24</v>
      </c>
      <c r="F408" t="s">
        <v>17</v>
      </c>
      <c r="G408" s="4">
        <v>15</v>
      </c>
      <c r="H408" t="s">
        <v>26</v>
      </c>
      <c r="I408" s="4">
        <v>1297</v>
      </c>
      <c r="J408" t="s">
        <v>35</v>
      </c>
      <c r="K408" t="s">
        <v>20</v>
      </c>
      <c r="L408" t="s">
        <v>28</v>
      </c>
      <c r="M408" t="s">
        <v>31</v>
      </c>
      <c r="N408">
        <v>3</v>
      </c>
    </row>
    <row r="409" spans="1:14" x14ac:dyDescent="0.25">
      <c r="A409">
        <v>408</v>
      </c>
      <c r="B409">
        <v>31</v>
      </c>
      <c r="C409" t="s">
        <v>14</v>
      </c>
      <c r="D409" t="s">
        <v>36</v>
      </c>
      <c r="E409" t="s">
        <v>16</v>
      </c>
      <c r="F409" t="s">
        <v>17</v>
      </c>
      <c r="G409" s="4">
        <v>10</v>
      </c>
      <c r="H409" t="s">
        <v>46</v>
      </c>
      <c r="I409" s="4">
        <v>753</v>
      </c>
      <c r="J409" t="s">
        <v>19</v>
      </c>
      <c r="K409" t="s">
        <v>38</v>
      </c>
      <c r="L409" t="s">
        <v>21</v>
      </c>
      <c r="M409" t="s">
        <v>31</v>
      </c>
      <c r="N409">
        <v>1</v>
      </c>
    </row>
    <row r="410" spans="1:14" x14ac:dyDescent="0.25">
      <c r="A410">
        <v>409</v>
      </c>
      <c r="B410">
        <v>21</v>
      </c>
      <c r="C410" t="s">
        <v>23</v>
      </c>
      <c r="D410" t="s">
        <v>15</v>
      </c>
      <c r="E410" t="s">
        <v>16</v>
      </c>
      <c r="F410" t="s">
        <v>42</v>
      </c>
      <c r="G410" s="4">
        <v>8</v>
      </c>
      <c r="H410" t="s">
        <v>18</v>
      </c>
      <c r="I410" s="4">
        <v>261</v>
      </c>
      <c r="J410" t="s">
        <v>19</v>
      </c>
      <c r="K410" t="s">
        <v>34</v>
      </c>
      <c r="L410" t="s">
        <v>21</v>
      </c>
      <c r="M410" t="s">
        <v>22</v>
      </c>
      <c r="N410">
        <v>4</v>
      </c>
    </row>
    <row r="411" spans="1:14" x14ac:dyDescent="0.25">
      <c r="A411">
        <v>410</v>
      </c>
      <c r="B411">
        <v>38</v>
      </c>
      <c r="C411" t="s">
        <v>14</v>
      </c>
      <c r="D411" t="s">
        <v>36</v>
      </c>
      <c r="E411" t="s">
        <v>39</v>
      </c>
      <c r="F411" t="s">
        <v>42</v>
      </c>
      <c r="G411" s="4">
        <v>17</v>
      </c>
      <c r="H411" t="s">
        <v>37</v>
      </c>
      <c r="I411" s="4">
        <v>1267</v>
      </c>
      <c r="J411" t="s">
        <v>44</v>
      </c>
      <c r="K411" t="s">
        <v>38</v>
      </c>
      <c r="L411" t="s">
        <v>21</v>
      </c>
      <c r="M411" t="s">
        <v>22</v>
      </c>
      <c r="N411">
        <v>2</v>
      </c>
    </row>
    <row r="412" spans="1:14" x14ac:dyDescent="0.25">
      <c r="A412">
        <v>411</v>
      </c>
      <c r="B412">
        <v>39</v>
      </c>
      <c r="C412" t="s">
        <v>29</v>
      </c>
      <c r="D412" t="s">
        <v>36</v>
      </c>
      <c r="E412" t="s">
        <v>39</v>
      </c>
      <c r="F412" t="s">
        <v>45</v>
      </c>
      <c r="G412" s="4">
        <v>16</v>
      </c>
      <c r="H412" t="s">
        <v>43</v>
      </c>
      <c r="I412" s="4">
        <v>1332</v>
      </c>
      <c r="J412" t="s">
        <v>44</v>
      </c>
      <c r="K412" t="s">
        <v>38</v>
      </c>
      <c r="L412" t="s">
        <v>28</v>
      </c>
      <c r="M412" t="s">
        <v>31</v>
      </c>
      <c r="N412">
        <v>4</v>
      </c>
    </row>
    <row r="413" spans="1:14" x14ac:dyDescent="0.25">
      <c r="A413">
        <v>412</v>
      </c>
      <c r="B413">
        <v>34</v>
      </c>
      <c r="C413" t="s">
        <v>29</v>
      </c>
      <c r="D413" t="s">
        <v>32</v>
      </c>
      <c r="E413" t="s">
        <v>39</v>
      </c>
      <c r="F413" t="s">
        <v>45</v>
      </c>
      <c r="G413" s="4">
        <v>25</v>
      </c>
      <c r="H413" t="s">
        <v>40</v>
      </c>
      <c r="I413" s="4">
        <v>2619</v>
      </c>
      <c r="J413" t="s">
        <v>19</v>
      </c>
      <c r="K413" t="s">
        <v>20</v>
      </c>
      <c r="L413" t="s">
        <v>28</v>
      </c>
      <c r="M413" t="s">
        <v>31</v>
      </c>
      <c r="N413">
        <v>5</v>
      </c>
    </row>
    <row r="414" spans="1:14" x14ac:dyDescent="0.25">
      <c r="A414">
        <v>413</v>
      </c>
      <c r="B414">
        <v>31</v>
      </c>
      <c r="C414" t="s">
        <v>14</v>
      </c>
      <c r="D414" t="s">
        <v>15</v>
      </c>
      <c r="E414" t="s">
        <v>24</v>
      </c>
      <c r="F414" t="s">
        <v>25</v>
      </c>
      <c r="G414" s="4">
        <v>13</v>
      </c>
      <c r="H414" t="s">
        <v>34</v>
      </c>
      <c r="I414" s="4">
        <v>637</v>
      </c>
      <c r="J414" t="s">
        <v>35</v>
      </c>
      <c r="K414" t="s">
        <v>20</v>
      </c>
      <c r="L414" t="s">
        <v>21</v>
      </c>
      <c r="M414" t="s">
        <v>31</v>
      </c>
      <c r="N414">
        <v>3</v>
      </c>
    </row>
    <row r="415" spans="1:14" x14ac:dyDescent="0.25">
      <c r="A415">
        <v>414</v>
      </c>
      <c r="B415">
        <v>33</v>
      </c>
      <c r="C415" t="s">
        <v>29</v>
      </c>
      <c r="D415" t="s">
        <v>36</v>
      </c>
      <c r="E415" t="s">
        <v>16</v>
      </c>
      <c r="F415" t="s">
        <v>33</v>
      </c>
      <c r="G415" s="4">
        <v>14</v>
      </c>
      <c r="H415" t="s">
        <v>34</v>
      </c>
      <c r="I415" s="4">
        <v>37</v>
      </c>
      <c r="J415" t="s">
        <v>27</v>
      </c>
      <c r="K415" t="s">
        <v>20</v>
      </c>
      <c r="L415" t="s">
        <v>28</v>
      </c>
      <c r="M415" t="s">
        <v>31</v>
      </c>
      <c r="N415">
        <v>4</v>
      </c>
    </row>
    <row r="416" spans="1:14" x14ac:dyDescent="0.25">
      <c r="A416">
        <v>415</v>
      </c>
      <c r="B416">
        <v>25</v>
      </c>
      <c r="C416" t="s">
        <v>29</v>
      </c>
      <c r="D416" t="s">
        <v>15</v>
      </c>
      <c r="E416" t="s">
        <v>39</v>
      </c>
      <c r="F416" t="s">
        <v>33</v>
      </c>
      <c r="G416" s="4">
        <v>10</v>
      </c>
      <c r="H416" t="s">
        <v>26</v>
      </c>
      <c r="I416" s="4">
        <v>2928</v>
      </c>
      <c r="J416" t="s">
        <v>27</v>
      </c>
      <c r="K416" t="s">
        <v>34</v>
      </c>
      <c r="L416" t="s">
        <v>28</v>
      </c>
      <c r="M416" t="s">
        <v>31</v>
      </c>
      <c r="N416">
        <v>4</v>
      </c>
    </row>
    <row r="417" spans="1:14" x14ac:dyDescent="0.25">
      <c r="A417">
        <v>416</v>
      </c>
      <c r="B417">
        <v>31</v>
      </c>
      <c r="C417" t="s">
        <v>14</v>
      </c>
      <c r="D417" t="s">
        <v>32</v>
      </c>
      <c r="E417" t="s">
        <v>16</v>
      </c>
      <c r="F417" t="s">
        <v>17</v>
      </c>
      <c r="G417" s="4">
        <v>11</v>
      </c>
      <c r="H417" t="s">
        <v>43</v>
      </c>
      <c r="I417" s="4">
        <v>280</v>
      </c>
      <c r="J417" t="s">
        <v>49</v>
      </c>
      <c r="K417" t="s">
        <v>34</v>
      </c>
      <c r="L417" t="s">
        <v>28</v>
      </c>
      <c r="M417" t="s">
        <v>22</v>
      </c>
      <c r="N417">
        <v>2</v>
      </c>
    </row>
    <row r="418" spans="1:14" x14ac:dyDescent="0.25">
      <c r="A418">
        <v>417</v>
      </c>
      <c r="B418">
        <v>28</v>
      </c>
      <c r="C418" t="s">
        <v>23</v>
      </c>
      <c r="D418" t="s">
        <v>15</v>
      </c>
      <c r="E418" t="s">
        <v>16</v>
      </c>
      <c r="F418" t="s">
        <v>33</v>
      </c>
      <c r="G418" s="4">
        <v>5</v>
      </c>
      <c r="H418" t="s">
        <v>46</v>
      </c>
      <c r="I418" s="4">
        <v>623</v>
      </c>
      <c r="J418" t="s">
        <v>35</v>
      </c>
      <c r="K418" t="s">
        <v>38</v>
      </c>
      <c r="L418" t="s">
        <v>28</v>
      </c>
      <c r="M418" t="s">
        <v>22</v>
      </c>
      <c r="N418">
        <v>1</v>
      </c>
    </row>
    <row r="419" spans="1:14" x14ac:dyDescent="0.25">
      <c r="A419">
        <v>418</v>
      </c>
      <c r="B419">
        <v>25</v>
      </c>
      <c r="C419" t="s">
        <v>29</v>
      </c>
      <c r="D419" t="s">
        <v>15</v>
      </c>
      <c r="E419" t="s">
        <v>39</v>
      </c>
      <c r="F419" t="s">
        <v>42</v>
      </c>
      <c r="G419" s="4">
        <v>7</v>
      </c>
      <c r="H419" t="s">
        <v>46</v>
      </c>
      <c r="I419" s="4">
        <v>617</v>
      </c>
      <c r="J419" t="s">
        <v>49</v>
      </c>
      <c r="K419" t="s">
        <v>34</v>
      </c>
      <c r="L419" t="s">
        <v>28</v>
      </c>
      <c r="M419" t="s">
        <v>22</v>
      </c>
      <c r="N419">
        <v>1</v>
      </c>
    </row>
    <row r="420" spans="1:14" x14ac:dyDescent="0.25">
      <c r="A420">
        <v>419</v>
      </c>
      <c r="B420">
        <v>28</v>
      </c>
      <c r="C420" t="s">
        <v>29</v>
      </c>
      <c r="D420" t="s">
        <v>32</v>
      </c>
      <c r="E420" t="s">
        <v>16</v>
      </c>
      <c r="F420" t="s">
        <v>45</v>
      </c>
      <c r="G420" s="4">
        <v>7</v>
      </c>
      <c r="H420" t="s">
        <v>43</v>
      </c>
      <c r="I420" s="4">
        <v>598</v>
      </c>
      <c r="J420" t="s">
        <v>44</v>
      </c>
      <c r="K420" t="s">
        <v>38</v>
      </c>
      <c r="L420" t="s">
        <v>28</v>
      </c>
      <c r="M420" t="s">
        <v>31</v>
      </c>
      <c r="N420">
        <v>1</v>
      </c>
    </row>
    <row r="421" spans="1:14" x14ac:dyDescent="0.25">
      <c r="A421">
        <v>420</v>
      </c>
      <c r="B421">
        <v>18</v>
      </c>
      <c r="C421" t="s">
        <v>29</v>
      </c>
      <c r="D421" t="s">
        <v>32</v>
      </c>
      <c r="E421" t="s">
        <v>16</v>
      </c>
      <c r="F421" t="s">
        <v>17</v>
      </c>
      <c r="G421" s="4">
        <v>8</v>
      </c>
      <c r="H421" t="s">
        <v>47</v>
      </c>
      <c r="I421" s="4">
        <v>2927</v>
      </c>
      <c r="J421" t="s">
        <v>27</v>
      </c>
      <c r="K421" t="s">
        <v>20</v>
      </c>
      <c r="L421" t="s">
        <v>21</v>
      </c>
      <c r="M421" t="s">
        <v>22</v>
      </c>
      <c r="N421">
        <v>2</v>
      </c>
    </row>
    <row r="422" spans="1:14" x14ac:dyDescent="0.25">
      <c r="A422">
        <v>421</v>
      </c>
      <c r="B422">
        <v>33</v>
      </c>
      <c r="C422" t="s">
        <v>29</v>
      </c>
      <c r="D422" t="s">
        <v>15</v>
      </c>
      <c r="E422" t="s">
        <v>24</v>
      </c>
      <c r="F422" t="s">
        <v>17</v>
      </c>
      <c r="G422" s="4">
        <v>17</v>
      </c>
      <c r="H422" t="s">
        <v>47</v>
      </c>
      <c r="I422" s="4">
        <v>2791</v>
      </c>
      <c r="J422" t="s">
        <v>19</v>
      </c>
      <c r="K422" t="s">
        <v>34</v>
      </c>
      <c r="L422" t="s">
        <v>28</v>
      </c>
      <c r="M422" t="s">
        <v>31</v>
      </c>
      <c r="N422">
        <v>3</v>
      </c>
    </row>
    <row r="423" spans="1:14" x14ac:dyDescent="0.25">
      <c r="A423">
        <v>422</v>
      </c>
      <c r="B423">
        <v>24</v>
      </c>
      <c r="C423" t="s">
        <v>14</v>
      </c>
      <c r="D423" t="s">
        <v>15</v>
      </c>
      <c r="E423" t="s">
        <v>24</v>
      </c>
      <c r="F423" t="s">
        <v>42</v>
      </c>
      <c r="G423" s="4">
        <v>16</v>
      </c>
      <c r="H423" t="s">
        <v>34</v>
      </c>
      <c r="I423" s="4">
        <v>213</v>
      </c>
      <c r="J423" t="s">
        <v>41</v>
      </c>
      <c r="K423" t="s">
        <v>38</v>
      </c>
      <c r="L423" t="s">
        <v>28</v>
      </c>
      <c r="M423" t="s">
        <v>22</v>
      </c>
      <c r="N423">
        <v>2</v>
      </c>
    </row>
    <row r="424" spans="1:14" x14ac:dyDescent="0.25">
      <c r="A424">
        <v>423</v>
      </c>
      <c r="B424">
        <v>30</v>
      </c>
      <c r="C424" t="s">
        <v>14</v>
      </c>
      <c r="D424" t="s">
        <v>36</v>
      </c>
      <c r="E424" t="s">
        <v>24</v>
      </c>
      <c r="F424" t="s">
        <v>42</v>
      </c>
      <c r="G424" s="4">
        <v>30</v>
      </c>
      <c r="H424" t="s">
        <v>37</v>
      </c>
      <c r="I424" s="4">
        <v>995</v>
      </c>
      <c r="J424" t="s">
        <v>50</v>
      </c>
      <c r="K424" t="s">
        <v>48</v>
      </c>
      <c r="L424" t="s">
        <v>21</v>
      </c>
      <c r="M424" t="s">
        <v>22</v>
      </c>
      <c r="N424">
        <v>1</v>
      </c>
    </row>
    <row r="425" spans="1:14" x14ac:dyDescent="0.25">
      <c r="A425">
        <v>424</v>
      </c>
      <c r="B425">
        <v>33</v>
      </c>
      <c r="C425" t="s">
        <v>29</v>
      </c>
      <c r="D425" t="s">
        <v>36</v>
      </c>
      <c r="E425" t="s">
        <v>16</v>
      </c>
      <c r="F425" t="s">
        <v>33</v>
      </c>
      <c r="G425" s="4">
        <v>7</v>
      </c>
      <c r="H425" t="s">
        <v>34</v>
      </c>
      <c r="I425" s="4">
        <v>2809</v>
      </c>
      <c r="J425" t="s">
        <v>44</v>
      </c>
      <c r="K425" t="s">
        <v>48</v>
      </c>
      <c r="L425" t="s">
        <v>21</v>
      </c>
      <c r="M425" t="s">
        <v>31</v>
      </c>
      <c r="N425">
        <v>5</v>
      </c>
    </row>
    <row r="426" spans="1:14" x14ac:dyDescent="0.25">
      <c r="A426">
        <v>425</v>
      </c>
      <c r="B426">
        <v>25</v>
      </c>
      <c r="C426" t="s">
        <v>29</v>
      </c>
      <c r="D426" t="s">
        <v>36</v>
      </c>
      <c r="E426" t="s">
        <v>16</v>
      </c>
      <c r="F426" t="s">
        <v>33</v>
      </c>
      <c r="G426" s="4">
        <v>15</v>
      </c>
      <c r="H426" t="s">
        <v>26</v>
      </c>
      <c r="I426" s="4">
        <v>2287</v>
      </c>
      <c r="J426" t="s">
        <v>50</v>
      </c>
      <c r="K426" t="s">
        <v>38</v>
      </c>
      <c r="L426" t="s">
        <v>28</v>
      </c>
      <c r="M426" t="s">
        <v>22</v>
      </c>
      <c r="N426">
        <v>3</v>
      </c>
    </row>
    <row r="427" spans="1:14" x14ac:dyDescent="0.25">
      <c r="A427">
        <v>426</v>
      </c>
      <c r="B427">
        <v>33</v>
      </c>
      <c r="C427" t="s">
        <v>29</v>
      </c>
      <c r="D427" t="s">
        <v>36</v>
      </c>
      <c r="E427" t="s">
        <v>24</v>
      </c>
      <c r="F427" t="s">
        <v>42</v>
      </c>
      <c r="G427" s="4">
        <v>27</v>
      </c>
      <c r="H427" t="s">
        <v>40</v>
      </c>
      <c r="I427" s="4">
        <v>1792</v>
      </c>
      <c r="J427" t="s">
        <v>44</v>
      </c>
      <c r="K427" t="s">
        <v>34</v>
      </c>
      <c r="L427" t="s">
        <v>28</v>
      </c>
      <c r="M427" t="s">
        <v>31</v>
      </c>
      <c r="N427">
        <v>5</v>
      </c>
    </row>
    <row r="428" spans="1:14" x14ac:dyDescent="0.25">
      <c r="A428">
        <v>427</v>
      </c>
      <c r="B428">
        <v>26</v>
      </c>
      <c r="C428" t="s">
        <v>14</v>
      </c>
      <c r="D428" t="s">
        <v>36</v>
      </c>
      <c r="E428" t="s">
        <v>16</v>
      </c>
      <c r="F428" t="s">
        <v>42</v>
      </c>
      <c r="G428" s="4">
        <v>24</v>
      </c>
      <c r="H428" t="s">
        <v>46</v>
      </c>
      <c r="I428" s="4">
        <v>2271</v>
      </c>
      <c r="J428" t="s">
        <v>35</v>
      </c>
      <c r="K428" t="s">
        <v>34</v>
      </c>
      <c r="L428" t="s">
        <v>28</v>
      </c>
      <c r="M428" t="s">
        <v>22</v>
      </c>
      <c r="N428">
        <v>2</v>
      </c>
    </row>
    <row r="429" spans="1:14" x14ac:dyDescent="0.25">
      <c r="A429">
        <v>428</v>
      </c>
      <c r="B429">
        <v>38</v>
      </c>
      <c r="C429" t="s">
        <v>14</v>
      </c>
      <c r="D429" t="s">
        <v>36</v>
      </c>
      <c r="E429" t="s">
        <v>39</v>
      </c>
      <c r="F429" t="s">
        <v>45</v>
      </c>
      <c r="G429" s="4">
        <v>21</v>
      </c>
      <c r="H429" t="s">
        <v>40</v>
      </c>
      <c r="I429" s="4">
        <v>1552</v>
      </c>
      <c r="J429" t="s">
        <v>50</v>
      </c>
      <c r="K429" t="s">
        <v>48</v>
      </c>
      <c r="L429" t="s">
        <v>28</v>
      </c>
      <c r="M429" t="s">
        <v>22</v>
      </c>
      <c r="N429">
        <v>2</v>
      </c>
    </row>
    <row r="430" spans="1:14" x14ac:dyDescent="0.25">
      <c r="A430">
        <v>429</v>
      </c>
      <c r="B430">
        <v>34</v>
      </c>
      <c r="C430" t="s">
        <v>14</v>
      </c>
      <c r="D430" t="s">
        <v>36</v>
      </c>
      <c r="E430" t="s">
        <v>39</v>
      </c>
      <c r="F430" t="s">
        <v>30</v>
      </c>
      <c r="G430" s="4">
        <v>26</v>
      </c>
      <c r="H430" t="s">
        <v>26</v>
      </c>
      <c r="I430" s="4">
        <v>2037</v>
      </c>
      <c r="J430" t="s">
        <v>50</v>
      </c>
      <c r="K430" t="s">
        <v>48</v>
      </c>
      <c r="L430" t="s">
        <v>21</v>
      </c>
      <c r="M430" t="s">
        <v>22</v>
      </c>
      <c r="N430">
        <v>5</v>
      </c>
    </row>
    <row r="431" spans="1:14" x14ac:dyDescent="0.25">
      <c r="A431">
        <v>430</v>
      </c>
      <c r="B431">
        <v>19</v>
      </c>
      <c r="C431" t="s">
        <v>14</v>
      </c>
      <c r="D431" t="s">
        <v>15</v>
      </c>
      <c r="E431" t="s">
        <v>39</v>
      </c>
      <c r="F431" t="s">
        <v>25</v>
      </c>
      <c r="G431" s="4">
        <v>9</v>
      </c>
      <c r="H431" t="s">
        <v>18</v>
      </c>
      <c r="I431" s="4">
        <v>731</v>
      </c>
      <c r="J431" t="s">
        <v>41</v>
      </c>
      <c r="K431" t="s">
        <v>20</v>
      </c>
      <c r="L431" t="s">
        <v>28</v>
      </c>
      <c r="M431" t="s">
        <v>31</v>
      </c>
      <c r="N431">
        <v>1</v>
      </c>
    </row>
    <row r="432" spans="1:14" x14ac:dyDescent="0.25">
      <c r="A432">
        <v>431</v>
      </c>
      <c r="B432">
        <v>19</v>
      </c>
      <c r="C432" t="s">
        <v>23</v>
      </c>
      <c r="D432" t="s">
        <v>15</v>
      </c>
      <c r="E432" t="s">
        <v>16</v>
      </c>
      <c r="F432" t="s">
        <v>25</v>
      </c>
      <c r="G432" s="4">
        <v>16</v>
      </c>
      <c r="H432" t="s">
        <v>43</v>
      </c>
      <c r="I432" s="4">
        <v>904</v>
      </c>
      <c r="J432" t="s">
        <v>19</v>
      </c>
      <c r="K432" t="s">
        <v>20</v>
      </c>
      <c r="L432" t="s">
        <v>21</v>
      </c>
      <c r="M432" t="s">
        <v>31</v>
      </c>
      <c r="N432">
        <v>5</v>
      </c>
    </row>
    <row r="433" spans="1:14" x14ac:dyDescent="0.25">
      <c r="A433">
        <v>432</v>
      </c>
      <c r="B433">
        <v>35</v>
      </c>
      <c r="C433" t="s">
        <v>23</v>
      </c>
      <c r="D433" t="s">
        <v>15</v>
      </c>
      <c r="E433" t="s">
        <v>24</v>
      </c>
      <c r="F433" t="s">
        <v>30</v>
      </c>
      <c r="G433" s="4">
        <v>28</v>
      </c>
      <c r="H433" t="s">
        <v>47</v>
      </c>
      <c r="I433" s="4">
        <v>1703</v>
      </c>
      <c r="J433" t="s">
        <v>19</v>
      </c>
      <c r="K433" t="s">
        <v>34</v>
      </c>
      <c r="L433" t="s">
        <v>21</v>
      </c>
      <c r="M433" t="s">
        <v>22</v>
      </c>
      <c r="N433">
        <v>3</v>
      </c>
    </row>
    <row r="434" spans="1:14" x14ac:dyDescent="0.25">
      <c r="A434">
        <v>433</v>
      </c>
      <c r="B434">
        <v>34</v>
      </c>
      <c r="C434" t="s">
        <v>23</v>
      </c>
      <c r="D434" t="s">
        <v>32</v>
      </c>
      <c r="E434" t="s">
        <v>16</v>
      </c>
      <c r="F434" t="s">
        <v>25</v>
      </c>
      <c r="G434" s="4">
        <v>8</v>
      </c>
      <c r="H434" t="s">
        <v>40</v>
      </c>
      <c r="I434" s="4">
        <v>414</v>
      </c>
      <c r="J434" t="s">
        <v>44</v>
      </c>
      <c r="K434" t="s">
        <v>20</v>
      </c>
      <c r="L434" t="s">
        <v>21</v>
      </c>
      <c r="M434" t="s">
        <v>31</v>
      </c>
      <c r="N434">
        <v>2</v>
      </c>
    </row>
    <row r="435" spans="1:14" x14ac:dyDescent="0.25">
      <c r="A435">
        <v>434</v>
      </c>
      <c r="B435">
        <v>39</v>
      </c>
      <c r="C435" t="s">
        <v>14</v>
      </c>
      <c r="D435" t="s">
        <v>15</v>
      </c>
      <c r="E435" t="s">
        <v>16</v>
      </c>
      <c r="F435" t="s">
        <v>45</v>
      </c>
      <c r="G435" s="4">
        <v>19</v>
      </c>
      <c r="H435" t="s">
        <v>26</v>
      </c>
      <c r="I435" s="4">
        <v>2877</v>
      </c>
      <c r="J435" t="s">
        <v>50</v>
      </c>
      <c r="K435" t="s">
        <v>38</v>
      </c>
      <c r="L435" t="s">
        <v>28</v>
      </c>
      <c r="M435" t="s">
        <v>31</v>
      </c>
      <c r="N435">
        <v>4</v>
      </c>
    </row>
    <row r="436" spans="1:14" x14ac:dyDescent="0.25">
      <c r="A436">
        <v>435</v>
      </c>
      <c r="B436">
        <v>28</v>
      </c>
      <c r="C436" t="s">
        <v>29</v>
      </c>
      <c r="D436" t="s">
        <v>36</v>
      </c>
      <c r="E436" t="s">
        <v>39</v>
      </c>
      <c r="F436" t="s">
        <v>17</v>
      </c>
      <c r="G436" s="4">
        <v>22</v>
      </c>
      <c r="H436" t="s">
        <v>34</v>
      </c>
      <c r="I436" s="4">
        <v>1329</v>
      </c>
      <c r="J436" t="s">
        <v>27</v>
      </c>
      <c r="K436" t="s">
        <v>38</v>
      </c>
      <c r="L436" t="s">
        <v>28</v>
      </c>
      <c r="M436" t="s">
        <v>31</v>
      </c>
      <c r="N436">
        <v>3</v>
      </c>
    </row>
    <row r="437" spans="1:14" x14ac:dyDescent="0.25">
      <c r="A437">
        <v>436</v>
      </c>
      <c r="B437">
        <v>29</v>
      </c>
      <c r="C437" t="s">
        <v>14</v>
      </c>
      <c r="D437" t="s">
        <v>36</v>
      </c>
      <c r="E437" t="s">
        <v>16</v>
      </c>
      <c r="F437" t="s">
        <v>30</v>
      </c>
      <c r="G437" s="4">
        <v>19</v>
      </c>
      <c r="H437" t="s">
        <v>47</v>
      </c>
      <c r="I437" s="4">
        <v>1832</v>
      </c>
      <c r="J437" t="s">
        <v>44</v>
      </c>
      <c r="K437" t="s">
        <v>34</v>
      </c>
      <c r="L437" t="s">
        <v>21</v>
      </c>
      <c r="M437" t="s">
        <v>31</v>
      </c>
      <c r="N437">
        <v>4</v>
      </c>
    </row>
    <row r="438" spans="1:14" x14ac:dyDescent="0.25">
      <c r="A438">
        <v>437</v>
      </c>
      <c r="B438">
        <v>25</v>
      </c>
      <c r="C438" t="s">
        <v>23</v>
      </c>
      <c r="D438" t="s">
        <v>32</v>
      </c>
      <c r="E438" t="s">
        <v>24</v>
      </c>
      <c r="F438" t="s">
        <v>45</v>
      </c>
      <c r="G438" s="4">
        <v>11</v>
      </c>
      <c r="H438" t="s">
        <v>37</v>
      </c>
      <c r="I438" s="4">
        <v>1289</v>
      </c>
      <c r="J438" t="s">
        <v>19</v>
      </c>
      <c r="K438" t="s">
        <v>48</v>
      </c>
      <c r="L438" t="s">
        <v>28</v>
      </c>
      <c r="M438" t="s">
        <v>31</v>
      </c>
      <c r="N438">
        <v>1</v>
      </c>
    </row>
    <row r="439" spans="1:14" x14ac:dyDescent="0.25">
      <c r="A439">
        <v>438</v>
      </c>
      <c r="B439">
        <v>22</v>
      </c>
      <c r="C439" t="s">
        <v>23</v>
      </c>
      <c r="D439" t="s">
        <v>15</v>
      </c>
      <c r="E439" t="s">
        <v>16</v>
      </c>
      <c r="F439" t="s">
        <v>30</v>
      </c>
      <c r="G439" s="4">
        <v>9</v>
      </c>
      <c r="H439" t="s">
        <v>46</v>
      </c>
      <c r="I439" s="4">
        <v>1085</v>
      </c>
      <c r="J439" t="s">
        <v>19</v>
      </c>
      <c r="K439" t="s">
        <v>20</v>
      </c>
      <c r="L439" t="s">
        <v>21</v>
      </c>
      <c r="M439" t="s">
        <v>22</v>
      </c>
      <c r="N439">
        <v>3</v>
      </c>
    </row>
    <row r="440" spans="1:14" x14ac:dyDescent="0.25">
      <c r="A440">
        <v>439</v>
      </c>
      <c r="B440">
        <v>28</v>
      </c>
      <c r="C440" t="s">
        <v>29</v>
      </c>
      <c r="D440" t="s">
        <v>36</v>
      </c>
      <c r="E440" t="s">
        <v>24</v>
      </c>
      <c r="F440" t="s">
        <v>45</v>
      </c>
      <c r="G440" s="4">
        <v>30</v>
      </c>
      <c r="H440" t="s">
        <v>18</v>
      </c>
      <c r="I440" s="4">
        <v>1976</v>
      </c>
      <c r="J440" t="s">
        <v>35</v>
      </c>
      <c r="K440" t="s">
        <v>48</v>
      </c>
      <c r="L440" t="s">
        <v>28</v>
      </c>
      <c r="M440" t="s">
        <v>22</v>
      </c>
      <c r="N440">
        <v>2</v>
      </c>
    </row>
    <row r="441" spans="1:14" x14ac:dyDescent="0.25">
      <c r="A441">
        <v>440</v>
      </c>
      <c r="B441">
        <v>19</v>
      </c>
      <c r="C441" t="s">
        <v>29</v>
      </c>
      <c r="D441" t="s">
        <v>32</v>
      </c>
      <c r="E441" t="s">
        <v>16</v>
      </c>
      <c r="F441" t="s">
        <v>25</v>
      </c>
      <c r="G441" s="4">
        <v>29</v>
      </c>
      <c r="H441" t="s">
        <v>47</v>
      </c>
      <c r="I441" s="4">
        <v>1369</v>
      </c>
      <c r="J441" t="s">
        <v>45</v>
      </c>
      <c r="K441" t="s">
        <v>48</v>
      </c>
      <c r="L441" t="s">
        <v>28</v>
      </c>
      <c r="M441" t="s">
        <v>22</v>
      </c>
      <c r="N441">
        <v>3</v>
      </c>
    </row>
    <row r="442" spans="1:14" x14ac:dyDescent="0.25">
      <c r="A442">
        <v>441</v>
      </c>
      <c r="B442">
        <v>28</v>
      </c>
      <c r="C442" t="s">
        <v>29</v>
      </c>
      <c r="D442" t="s">
        <v>36</v>
      </c>
      <c r="E442" t="s">
        <v>24</v>
      </c>
      <c r="F442" t="s">
        <v>25</v>
      </c>
      <c r="G442" s="4">
        <v>22</v>
      </c>
      <c r="H442" t="s">
        <v>37</v>
      </c>
      <c r="I442" s="4">
        <v>2313</v>
      </c>
      <c r="J442" t="s">
        <v>41</v>
      </c>
      <c r="K442" t="s">
        <v>20</v>
      </c>
      <c r="L442" t="s">
        <v>28</v>
      </c>
      <c r="M442" t="s">
        <v>22</v>
      </c>
      <c r="N442">
        <v>2</v>
      </c>
    </row>
    <row r="443" spans="1:14" x14ac:dyDescent="0.25">
      <c r="A443">
        <v>442</v>
      </c>
      <c r="B443">
        <v>25</v>
      </c>
      <c r="C443" t="s">
        <v>14</v>
      </c>
      <c r="D443" t="s">
        <v>15</v>
      </c>
      <c r="E443" t="s">
        <v>39</v>
      </c>
      <c r="F443" t="s">
        <v>33</v>
      </c>
      <c r="G443" s="4">
        <v>18</v>
      </c>
      <c r="H443" t="s">
        <v>43</v>
      </c>
      <c r="I443" s="4">
        <v>1186</v>
      </c>
      <c r="J443" t="s">
        <v>41</v>
      </c>
      <c r="K443" t="s">
        <v>20</v>
      </c>
      <c r="L443" t="s">
        <v>28</v>
      </c>
      <c r="M443" t="s">
        <v>22</v>
      </c>
      <c r="N443">
        <v>4</v>
      </c>
    </row>
    <row r="444" spans="1:14" x14ac:dyDescent="0.25">
      <c r="A444">
        <v>443</v>
      </c>
      <c r="B444">
        <v>30</v>
      </c>
      <c r="C444" t="s">
        <v>14</v>
      </c>
      <c r="D444" t="s">
        <v>32</v>
      </c>
      <c r="E444" t="s">
        <v>24</v>
      </c>
      <c r="F444" t="s">
        <v>25</v>
      </c>
      <c r="G444" s="4">
        <v>21</v>
      </c>
      <c r="H444" t="s">
        <v>43</v>
      </c>
      <c r="I444" s="4">
        <v>1779</v>
      </c>
      <c r="J444" t="s">
        <v>45</v>
      </c>
      <c r="K444" t="s">
        <v>38</v>
      </c>
      <c r="L444" t="s">
        <v>21</v>
      </c>
      <c r="M444" t="s">
        <v>22</v>
      </c>
      <c r="N444">
        <v>2</v>
      </c>
    </row>
    <row r="445" spans="1:14" x14ac:dyDescent="0.25">
      <c r="A445">
        <v>444</v>
      </c>
      <c r="B445">
        <v>20</v>
      </c>
      <c r="C445" t="s">
        <v>23</v>
      </c>
      <c r="D445" t="s">
        <v>36</v>
      </c>
      <c r="E445" t="s">
        <v>16</v>
      </c>
      <c r="F445" t="s">
        <v>33</v>
      </c>
      <c r="G445" s="4">
        <v>13</v>
      </c>
      <c r="H445" t="s">
        <v>26</v>
      </c>
      <c r="I445" s="4">
        <v>1761</v>
      </c>
      <c r="J445" t="s">
        <v>45</v>
      </c>
      <c r="K445" t="s">
        <v>34</v>
      </c>
      <c r="L445" t="s">
        <v>28</v>
      </c>
      <c r="M445" t="s">
        <v>22</v>
      </c>
      <c r="N445">
        <v>3</v>
      </c>
    </row>
    <row r="446" spans="1:14" x14ac:dyDescent="0.25">
      <c r="A446">
        <v>445</v>
      </c>
      <c r="B446">
        <v>28</v>
      </c>
      <c r="C446" t="s">
        <v>29</v>
      </c>
      <c r="D446" t="s">
        <v>15</v>
      </c>
      <c r="E446" t="s">
        <v>39</v>
      </c>
      <c r="F446" t="s">
        <v>45</v>
      </c>
      <c r="G446" s="4">
        <v>16</v>
      </c>
      <c r="H446" t="s">
        <v>43</v>
      </c>
      <c r="I446" s="4">
        <v>2432</v>
      </c>
      <c r="J446" t="s">
        <v>44</v>
      </c>
      <c r="K446" t="s">
        <v>20</v>
      </c>
      <c r="L446" t="s">
        <v>21</v>
      </c>
      <c r="M446" t="s">
        <v>22</v>
      </c>
      <c r="N446">
        <v>1</v>
      </c>
    </row>
    <row r="447" spans="1:14" x14ac:dyDescent="0.25">
      <c r="A447">
        <v>446</v>
      </c>
      <c r="B447">
        <v>24</v>
      </c>
      <c r="C447" t="s">
        <v>23</v>
      </c>
      <c r="D447" t="s">
        <v>15</v>
      </c>
      <c r="E447" t="s">
        <v>16</v>
      </c>
      <c r="F447" t="s">
        <v>17</v>
      </c>
      <c r="G447" s="4">
        <v>26</v>
      </c>
      <c r="H447" t="s">
        <v>47</v>
      </c>
      <c r="I447" s="4">
        <v>1531</v>
      </c>
      <c r="J447" t="s">
        <v>27</v>
      </c>
      <c r="K447" t="s">
        <v>38</v>
      </c>
      <c r="L447" t="s">
        <v>28</v>
      </c>
      <c r="M447" t="s">
        <v>22</v>
      </c>
      <c r="N447">
        <v>2</v>
      </c>
    </row>
    <row r="448" spans="1:14" x14ac:dyDescent="0.25">
      <c r="A448">
        <v>447</v>
      </c>
      <c r="B448">
        <v>28</v>
      </c>
      <c r="C448" t="s">
        <v>29</v>
      </c>
      <c r="D448" t="s">
        <v>32</v>
      </c>
      <c r="E448" t="s">
        <v>16</v>
      </c>
      <c r="F448" t="s">
        <v>30</v>
      </c>
      <c r="G448" s="4">
        <v>27</v>
      </c>
      <c r="H448" t="s">
        <v>40</v>
      </c>
      <c r="I448" s="4">
        <v>455</v>
      </c>
      <c r="J448" t="s">
        <v>27</v>
      </c>
      <c r="K448" t="s">
        <v>38</v>
      </c>
      <c r="L448" t="s">
        <v>28</v>
      </c>
      <c r="M448" t="s">
        <v>31</v>
      </c>
      <c r="N448">
        <v>3</v>
      </c>
    </row>
    <row r="449" spans="1:14" x14ac:dyDescent="0.25">
      <c r="A449">
        <v>448</v>
      </c>
      <c r="B449">
        <v>37</v>
      </c>
      <c r="C449" t="s">
        <v>29</v>
      </c>
      <c r="D449" t="s">
        <v>36</v>
      </c>
      <c r="E449" t="s">
        <v>24</v>
      </c>
      <c r="F449" t="s">
        <v>45</v>
      </c>
      <c r="G449" s="4">
        <v>28</v>
      </c>
      <c r="H449" t="s">
        <v>47</v>
      </c>
      <c r="I449" s="4">
        <v>578</v>
      </c>
      <c r="J449" t="s">
        <v>35</v>
      </c>
      <c r="K449" t="s">
        <v>38</v>
      </c>
      <c r="L449" t="s">
        <v>21</v>
      </c>
      <c r="M449" t="s">
        <v>31</v>
      </c>
      <c r="N449">
        <v>1</v>
      </c>
    </row>
    <row r="450" spans="1:14" x14ac:dyDescent="0.25">
      <c r="A450">
        <v>449</v>
      </c>
      <c r="B450">
        <v>24</v>
      </c>
      <c r="C450" t="s">
        <v>29</v>
      </c>
      <c r="D450" t="s">
        <v>15</v>
      </c>
      <c r="E450" t="s">
        <v>39</v>
      </c>
      <c r="F450" t="s">
        <v>17</v>
      </c>
      <c r="G450" s="4">
        <v>30</v>
      </c>
      <c r="H450" t="s">
        <v>47</v>
      </c>
      <c r="I450" s="4">
        <v>2852</v>
      </c>
      <c r="J450" t="s">
        <v>19</v>
      </c>
      <c r="K450" t="s">
        <v>20</v>
      </c>
      <c r="L450" t="s">
        <v>28</v>
      </c>
      <c r="M450" t="s">
        <v>31</v>
      </c>
      <c r="N450">
        <v>5</v>
      </c>
    </row>
    <row r="451" spans="1:14" x14ac:dyDescent="0.25">
      <c r="A451">
        <v>450</v>
      </c>
      <c r="B451">
        <v>21</v>
      </c>
      <c r="C451" t="s">
        <v>14</v>
      </c>
      <c r="D451" t="s">
        <v>32</v>
      </c>
      <c r="E451" t="s">
        <v>24</v>
      </c>
      <c r="F451" t="s">
        <v>17</v>
      </c>
      <c r="G451" s="4">
        <v>5</v>
      </c>
      <c r="H451" t="s">
        <v>18</v>
      </c>
      <c r="I451" s="4">
        <v>1198</v>
      </c>
      <c r="J451" t="s">
        <v>50</v>
      </c>
      <c r="K451" t="s">
        <v>20</v>
      </c>
      <c r="L451" t="s">
        <v>21</v>
      </c>
      <c r="M451" t="s">
        <v>22</v>
      </c>
      <c r="N451">
        <v>4</v>
      </c>
    </row>
    <row r="452" spans="1:14" x14ac:dyDescent="0.25">
      <c r="A452">
        <v>451</v>
      </c>
      <c r="B452">
        <v>24</v>
      </c>
      <c r="C452" t="s">
        <v>23</v>
      </c>
      <c r="D452" t="s">
        <v>15</v>
      </c>
      <c r="E452" t="s">
        <v>16</v>
      </c>
      <c r="F452" t="s">
        <v>25</v>
      </c>
      <c r="G452" s="4">
        <v>21</v>
      </c>
      <c r="H452" t="s">
        <v>46</v>
      </c>
      <c r="I452" s="4">
        <v>1875</v>
      </c>
      <c r="J452" t="s">
        <v>50</v>
      </c>
      <c r="K452" t="s">
        <v>20</v>
      </c>
      <c r="L452" t="s">
        <v>28</v>
      </c>
      <c r="M452" t="s">
        <v>22</v>
      </c>
      <c r="N452">
        <v>5</v>
      </c>
    </row>
    <row r="453" spans="1:14" x14ac:dyDescent="0.25">
      <c r="A453">
        <v>452</v>
      </c>
      <c r="B453">
        <v>18</v>
      </c>
      <c r="C453" t="s">
        <v>29</v>
      </c>
      <c r="D453" t="s">
        <v>36</v>
      </c>
      <c r="E453" t="s">
        <v>39</v>
      </c>
      <c r="F453" t="s">
        <v>25</v>
      </c>
      <c r="G453" s="4">
        <v>16</v>
      </c>
      <c r="H453" t="s">
        <v>46</v>
      </c>
      <c r="I453" s="4">
        <v>2802</v>
      </c>
      <c r="J453" t="s">
        <v>41</v>
      </c>
      <c r="K453" t="s">
        <v>34</v>
      </c>
      <c r="L453" t="s">
        <v>28</v>
      </c>
      <c r="M453" t="s">
        <v>22</v>
      </c>
      <c r="N453">
        <v>3</v>
      </c>
    </row>
    <row r="454" spans="1:14" x14ac:dyDescent="0.25">
      <c r="A454">
        <v>453</v>
      </c>
      <c r="B454">
        <v>35</v>
      </c>
      <c r="C454" t="s">
        <v>29</v>
      </c>
      <c r="D454" t="s">
        <v>32</v>
      </c>
      <c r="E454" t="s">
        <v>24</v>
      </c>
      <c r="F454" t="s">
        <v>25</v>
      </c>
      <c r="G454" s="4">
        <v>13</v>
      </c>
      <c r="H454" t="s">
        <v>18</v>
      </c>
      <c r="I454" s="4">
        <v>923</v>
      </c>
      <c r="J454" t="s">
        <v>45</v>
      </c>
      <c r="K454" t="s">
        <v>38</v>
      </c>
      <c r="L454" t="s">
        <v>28</v>
      </c>
      <c r="M454" t="s">
        <v>22</v>
      </c>
      <c r="N454">
        <v>2</v>
      </c>
    </row>
    <row r="455" spans="1:14" x14ac:dyDescent="0.25">
      <c r="A455">
        <v>454</v>
      </c>
      <c r="B455">
        <v>36</v>
      </c>
      <c r="C455" t="s">
        <v>23</v>
      </c>
      <c r="D455" t="s">
        <v>32</v>
      </c>
      <c r="E455" t="s">
        <v>39</v>
      </c>
      <c r="F455" t="s">
        <v>45</v>
      </c>
      <c r="G455" s="4">
        <v>9</v>
      </c>
      <c r="H455" t="s">
        <v>37</v>
      </c>
      <c r="I455" s="4">
        <v>1746</v>
      </c>
      <c r="J455" t="s">
        <v>27</v>
      </c>
      <c r="K455" t="s">
        <v>38</v>
      </c>
      <c r="L455" t="s">
        <v>21</v>
      </c>
      <c r="M455" t="s">
        <v>22</v>
      </c>
      <c r="N455">
        <v>3</v>
      </c>
    </row>
    <row r="456" spans="1:14" x14ac:dyDescent="0.25">
      <c r="A456">
        <v>455</v>
      </c>
      <c r="B456">
        <v>27</v>
      </c>
      <c r="C456" t="s">
        <v>14</v>
      </c>
      <c r="D456" t="s">
        <v>32</v>
      </c>
      <c r="E456" t="s">
        <v>16</v>
      </c>
      <c r="F456" t="s">
        <v>17</v>
      </c>
      <c r="G456" s="4">
        <v>27</v>
      </c>
      <c r="H456" t="s">
        <v>37</v>
      </c>
      <c r="I456" s="4">
        <v>2888</v>
      </c>
      <c r="J456" t="s">
        <v>50</v>
      </c>
      <c r="K456" t="s">
        <v>48</v>
      </c>
      <c r="L456" t="s">
        <v>21</v>
      </c>
      <c r="M456" t="s">
        <v>22</v>
      </c>
      <c r="N456">
        <v>5</v>
      </c>
    </row>
    <row r="457" spans="1:14" x14ac:dyDescent="0.25">
      <c r="A457">
        <v>456</v>
      </c>
      <c r="B457">
        <v>28</v>
      </c>
      <c r="C457" t="s">
        <v>29</v>
      </c>
      <c r="D457" t="s">
        <v>32</v>
      </c>
      <c r="E457" t="s">
        <v>39</v>
      </c>
      <c r="F457" t="s">
        <v>30</v>
      </c>
      <c r="G457" s="4">
        <v>9</v>
      </c>
      <c r="H457" t="s">
        <v>43</v>
      </c>
      <c r="I457" s="4">
        <v>2978</v>
      </c>
      <c r="J457" t="s">
        <v>35</v>
      </c>
      <c r="K457" t="s">
        <v>38</v>
      </c>
      <c r="L457" t="s">
        <v>21</v>
      </c>
      <c r="M457" t="s">
        <v>22</v>
      </c>
      <c r="N457">
        <v>1</v>
      </c>
    </row>
    <row r="458" spans="1:14" x14ac:dyDescent="0.25">
      <c r="A458">
        <v>457</v>
      </c>
      <c r="B458">
        <v>22</v>
      </c>
      <c r="C458" t="s">
        <v>23</v>
      </c>
      <c r="D458" t="s">
        <v>32</v>
      </c>
      <c r="E458" t="s">
        <v>24</v>
      </c>
      <c r="F458" t="s">
        <v>45</v>
      </c>
      <c r="G458" s="4">
        <v>10</v>
      </c>
      <c r="H458" t="s">
        <v>40</v>
      </c>
      <c r="I458" s="4">
        <v>107</v>
      </c>
      <c r="J458" t="s">
        <v>27</v>
      </c>
      <c r="K458" t="s">
        <v>38</v>
      </c>
      <c r="L458" t="s">
        <v>21</v>
      </c>
      <c r="M458" t="s">
        <v>31</v>
      </c>
      <c r="N458">
        <v>5</v>
      </c>
    </row>
    <row r="459" spans="1:14" x14ac:dyDescent="0.25">
      <c r="A459">
        <v>458</v>
      </c>
      <c r="B459">
        <v>20</v>
      </c>
      <c r="C459" t="s">
        <v>23</v>
      </c>
      <c r="D459" t="s">
        <v>36</v>
      </c>
      <c r="E459" t="s">
        <v>39</v>
      </c>
      <c r="F459" t="s">
        <v>17</v>
      </c>
      <c r="G459" s="4">
        <v>27</v>
      </c>
      <c r="H459" t="s">
        <v>34</v>
      </c>
      <c r="I459" s="4">
        <v>1952</v>
      </c>
      <c r="J459" t="s">
        <v>44</v>
      </c>
      <c r="K459" t="s">
        <v>20</v>
      </c>
      <c r="L459" t="s">
        <v>28</v>
      </c>
      <c r="M459" t="s">
        <v>31</v>
      </c>
      <c r="N459">
        <v>2</v>
      </c>
    </row>
    <row r="460" spans="1:14" x14ac:dyDescent="0.25">
      <c r="A460">
        <v>459</v>
      </c>
      <c r="B460">
        <v>22</v>
      </c>
      <c r="C460" t="s">
        <v>14</v>
      </c>
      <c r="D460" t="s">
        <v>32</v>
      </c>
      <c r="E460" t="s">
        <v>16</v>
      </c>
      <c r="F460" t="s">
        <v>30</v>
      </c>
      <c r="G460" s="4">
        <v>10</v>
      </c>
      <c r="H460" t="s">
        <v>26</v>
      </c>
      <c r="I460" s="4">
        <v>791</v>
      </c>
      <c r="J460" t="s">
        <v>27</v>
      </c>
      <c r="K460" t="s">
        <v>38</v>
      </c>
      <c r="L460" t="s">
        <v>21</v>
      </c>
      <c r="M460" t="s">
        <v>22</v>
      </c>
      <c r="N460">
        <v>2</v>
      </c>
    </row>
    <row r="461" spans="1:14" x14ac:dyDescent="0.25">
      <c r="A461">
        <v>460</v>
      </c>
      <c r="B461">
        <v>23</v>
      </c>
      <c r="C461" t="s">
        <v>23</v>
      </c>
      <c r="D461" t="s">
        <v>32</v>
      </c>
      <c r="E461" t="s">
        <v>39</v>
      </c>
      <c r="F461" t="s">
        <v>25</v>
      </c>
      <c r="G461" s="4">
        <v>19</v>
      </c>
      <c r="H461" t="s">
        <v>26</v>
      </c>
      <c r="I461" s="4">
        <v>2527</v>
      </c>
      <c r="J461" t="s">
        <v>45</v>
      </c>
      <c r="K461" t="s">
        <v>48</v>
      </c>
      <c r="L461" t="s">
        <v>28</v>
      </c>
      <c r="M461" t="s">
        <v>31</v>
      </c>
      <c r="N461">
        <v>4</v>
      </c>
    </row>
    <row r="462" spans="1:14" x14ac:dyDescent="0.25">
      <c r="A462">
        <v>461</v>
      </c>
      <c r="B462">
        <v>30</v>
      </c>
      <c r="C462" t="s">
        <v>23</v>
      </c>
      <c r="D462" t="s">
        <v>36</v>
      </c>
      <c r="E462" t="s">
        <v>24</v>
      </c>
      <c r="F462" t="s">
        <v>17</v>
      </c>
      <c r="G462" s="4">
        <v>24</v>
      </c>
      <c r="H462" t="s">
        <v>47</v>
      </c>
      <c r="I462" s="4">
        <v>2342</v>
      </c>
      <c r="J462" t="s">
        <v>19</v>
      </c>
      <c r="K462" t="s">
        <v>20</v>
      </c>
      <c r="L462" t="s">
        <v>28</v>
      </c>
      <c r="M462" t="s">
        <v>22</v>
      </c>
      <c r="N462">
        <v>5</v>
      </c>
    </row>
    <row r="463" spans="1:14" x14ac:dyDescent="0.25">
      <c r="A463">
        <v>462</v>
      </c>
      <c r="B463">
        <v>25</v>
      </c>
      <c r="C463" t="s">
        <v>23</v>
      </c>
      <c r="D463" t="s">
        <v>15</v>
      </c>
      <c r="E463" t="s">
        <v>24</v>
      </c>
      <c r="F463" t="s">
        <v>42</v>
      </c>
      <c r="G463" s="4">
        <v>21</v>
      </c>
      <c r="H463" t="s">
        <v>47</v>
      </c>
      <c r="I463" s="4">
        <v>2203</v>
      </c>
      <c r="J463" t="s">
        <v>27</v>
      </c>
      <c r="K463" t="s">
        <v>34</v>
      </c>
      <c r="L463" t="s">
        <v>28</v>
      </c>
      <c r="M463" t="s">
        <v>31</v>
      </c>
      <c r="N463">
        <v>4</v>
      </c>
    </row>
    <row r="464" spans="1:14" x14ac:dyDescent="0.25">
      <c r="A464">
        <v>463</v>
      </c>
      <c r="B464">
        <v>27</v>
      </c>
      <c r="C464" t="s">
        <v>14</v>
      </c>
      <c r="D464" t="s">
        <v>32</v>
      </c>
      <c r="E464" t="s">
        <v>39</v>
      </c>
      <c r="F464" t="s">
        <v>45</v>
      </c>
      <c r="G464" s="4">
        <v>29</v>
      </c>
      <c r="H464" t="s">
        <v>47</v>
      </c>
      <c r="I464" s="4">
        <v>1171</v>
      </c>
      <c r="J464" t="s">
        <v>44</v>
      </c>
      <c r="K464" t="s">
        <v>20</v>
      </c>
      <c r="L464" t="s">
        <v>28</v>
      </c>
      <c r="M464" t="s">
        <v>22</v>
      </c>
      <c r="N464">
        <v>4</v>
      </c>
    </row>
    <row r="465" spans="1:14" x14ac:dyDescent="0.25">
      <c r="A465">
        <v>464</v>
      </c>
      <c r="B465">
        <v>34</v>
      </c>
      <c r="C465" t="s">
        <v>23</v>
      </c>
      <c r="D465" t="s">
        <v>36</v>
      </c>
      <c r="E465" t="s">
        <v>16</v>
      </c>
      <c r="F465" t="s">
        <v>42</v>
      </c>
      <c r="G465" s="4">
        <v>8</v>
      </c>
      <c r="H465" t="s">
        <v>26</v>
      </c>
      <c r="I465" s="4">
        <v>736</v>
      </c>
      <c r="J465" t="s">
        <v>50</v>
      </c>
      <c r="K465" t="s">
        <v>20</v>
      </c>
      <c r="L465" t="s">
        <v>21</v>
      </c>
      <c r="M465" t="s">
        <v>22</v>
      </c>
      <c r="N465">
        <v>5</v>
      </c>
    </row>
    <row r="466" spans="1:14" x14ac:dyDescent="0.25">
      <c r="A466">
        <v>465</v>
      </c>
      <c r="B466">
        <v>32</v>
      </c>
      <c r="C466" t="s">
        <v>29</v>
      </c>
      <c r="D466" t="s">
        <v>15</v>
      </c>
      <c r="E466" t="s">
        <v>39</v>
      </c>
      <c r="F466" t="s">
        <v>30</v>
      </c>
      <c r="G466" s="4">
        <v>23</v>
      </c>
      <c r="H466" t="s">
        <v>37</v>
      </c>
      <c r="I466" s="4">
        <v>2918</v>
      </c>
      <c r="J466" t="s">
        <v>19</v>
      </c>
      <c r="K466" t="s">
        <v>48</v>
      </c>
      <c r="L466" t="s">
        <v>21</v>
      </c>
      <c r="M466" t="s">
        <v>31</v>
      </c>
      <c r="N466">
        <v>2</v>
      </c>
    </row>
    <row r="467" spans="1:14" x14ac:dyDescent="0.25">
      <c r="A467">
        <v>466</v>
      </c>
      <c r="B467">
        <v>38</v>
      </c>
      <c r="C467" t="s">
        <v>23</v>
      </c>
      <c r="D467" t="s">
        <v>32</v>
      </c>
      <c r="E467" t="s">
        <v>24</v>
      </c>
      <c r="F467" t="s">
        <v>45</v>
      </c>
      <c r="G467" s="4">
        <v>16</v>
      </c>
      <c r="H467" t="s">
        <v>37</v>
      </c>
      <c r="I467" s="4">
        <v>349</v>
      </c>
      <c r="J467" t="s">
        <v>45</v>
      </c>
      <c r="K467" t="s">
        <v>20</v>
      </c>
      <c r="L467" t="s">
        <v>21</v>
      </c>
      <c r="M467" t="s">
        <v>22</v>
      </c>
      <c r="N467">
        <v>5</v>
      </c>
    </row>
    <row r="468" spans="1:14" x14ac:dyDescent="0.25">
      <c r="A468">
        <v>467</v>
      </c>
      <c r="B468">
        <v>28</v>
      </c>
      <c r="C468" t="s">
        <v>14</v>
      </c>
      <c r="D468" t="s">
        <v>15</v>
      </c>
      <c r="E468" t="s">
        <v>16</v>
      </c>
      <c r="F468" t="s">
        <v>17</v>
      </c>
      <c r="G468" s="4">
        <v>23</v>
      </c>
      <c r="H468" t="s">
        <v>47</v>
      </c>
      <c r="I468" s="4">
        <v>2701</v>
      </c>
      <c r="J468" t="s">
        <v>45</v>
      </c>
      <c r="K468" t="s">
        <v>34</v>
      </c>
      <c r="L468" t="s">
        <v>28</v>
      </c>
      <c r="M468" t="s">
        <v>31</v>
      </c>
      <c r="N468">
        <v>2</v>
      </c>
    </row>
    <row r="469" spans="1:14" x14ac:dyDescent="0.25">
      <c r="A469">
        <v>468</v>
      </c>
      <c r="B469">
        <v>27</v>
      </c>
      <c r="C469" t="s">
        <v>14</v>
      </c>
      <c r="D469" t="s">
        <v>15</v>
      </c>
      <c r="E469" t="s">
        <v>16</v>
      </c>
      <c r="F469" t="s">
        <v>45</v>
      </c>
      <c r="G469" s="4">
        <v>25</v>
      </c>
      <c r="H469" t="s">
        <v>46</v>
      </c>
      <c r="I469" s="4">
        <v>740</v>
      </c>
      <c r="J469" t="s">
        <v>41</v>
      </c>
      <c r="K469" t="s">
        <v>20</v>
      </c>
      <c r="L469" t="s">
        <v>28</v>
      </c>
      <c r="M469" t="s">
        <v>31</v>
      </c>
      <c r="N469">
        <v>1</v>
      </c>
    </row>
    <row r="470" spans="1:14" x14ac:dyDescent="0.25">
      <c r="A470">
        <v>469</v>
      </c>
      <c r="B470">
        <v>35</v>
      </c>
      <c r="C470" t="s">
        <v>29</v>
      </c>
      <c r="D470" t="s">
        <v>15</v>
      </c>
      <c r="E470" t="s">
        <v>16</v>
      </c>
      <c r="F470" t="s">
        <v>45</v>
      </c>
      <c r="G470" s="4">
        <v>30</v>
      </c>
      <c r="H470" t="s">
        <v>43</v>
      </c>
      <c r="I470" s="4">
        <v>23</v>
      </c>
      <c r="J470" t="s">
        <v>49</v>
      </c>
      <c r="K470" t="s">
        <v>20</v>
      </c>
      <c r="L470" t="s">
        <v>28</v>
      </c>
      <c r="M470" t="s">
        <v>22</v>
      </c>
      <c r="N470">
        <v>5</v>
      </c>
    </row>
    <row r="471" spans="1:14" x14ac:dyDescent="0.25">
      <c r="A471">
        <v>470</v>
      </c>
      <c r="B471">
        <v>37</v>
      </c>
      <c r="C471" t="s">
        <v>23</v>
      </c>
      <c r="D471" t="s">
        <v>32</v>
      </c>
      <c r="E471" t="s">
        <v>24</v>
      </c>
      <c r="F471" t="s">
        <v>17</v>
      </c>
      <c r="G471" s="4">
        <v>24</v>
      </c>
      <c r="H471" t="s">
        <v>40</v>
      </c>
      <c r="I471" s="4">
        <v>26</v>
      </c>
      <c r="J471" t="s">
        <v>41</v>
      </c>
      <c r="K471" t="s">
        <v>38</v>
      </c>
      <c r="L471" t="s">
        <v>21</v>
      </c>
      <c r="M471" t="s">
        <v>22</v>
      </c>
      <c r="N471">
        <v>2</v>
      </c>
    </row>
    <row r="472" spans="1:14" x14ac:dyDescent="0.25">
      <c r="A472">
        <v>471</v>
      </c>
      <c r="B472">
        <v>38</v>
      </c>
      <c r="C472" t="s">
        <v>14</v>
      </c>
      <c r="D472" t="s">
        <v>36</v>
      </c>
      <c r="E472" t="s">
        <v>24</v>
      </c>
      <c r="F472" t="s">
        <v>45</v>
      </c>
      <c r="G472" s="4">
        <v>16</v>
      </c>
      <c r="H472" t="s">
        <v>46</v>
      </c>
      <c r="I472" s="4">
        <v>150</v>
      </c>
      <c r="J472" t="s">
        <v>50</v>
      </c>
      <c r="K472" t="s">
        <v>48</v>
      </c>
      <c r="L472" t="s">
        <v>21</v>
      </c>
      <c r="M472" t="s">
        <v>22</v>
      </c>
      <c r="N472">
        <v>2</v>
      </c>
    </row>
    <row r="473" spans="1:14" x14ac:dyDescent="0.25">
      <c r="A473">
        <v>472</v>
      </c>
      <c r="B473">
        <v>31</v>
      </c>
      <c r="C473" t="s">
        <v>23</v>
      </c>
      <c r="D473" t="s">
        <v>36</v>
      </c>
      <c r="E473" t="s">
        <v>24</v>
      </c>
      <c r="F473" t="s">
        <v>17</v>
      </c>
      <c r="G473" s="4">
        <v>10</v>
      </c>
      <c r="H473" t="s">
        <v>37</v>
      </c>
      <c r="I473" s="4">
        <v>660</v>
      </c>
      <c r="J473" t="s">
        <v>49</v>
      </c>
      <c r="K473" t="s">
        <v>34</v>
      </c>
      <c r="L473" t="s">
        <v>21</v>
      </c>
      <c r="M473" t="s">
        <v>22</v>
      </c>
      <c r="N473">
        <v>3</v>
      </c>
    </row>
    <row r="474" spans="1:14" x14ac:dyDescent="0.25">
      <c r="A474">
        <v>473</v>
      </c>
      <c r="B474">
        <v>27</v>
      </c>
      <c r="C474" t="s">
        <v>14</v>
      </c>
      <c r="D474" t="s">
        <v>32</v>
      </c>
      <c r="E474" t="s">
        <v>24</v>
      </c>
      <c r="F474" t="s">
        <v>33</v>
      </c>
      <c r="G474" s="4">
        <v>15</v>
      </c>
      <c r="H474" t="s">
        <v>46</v>
      </c>
      <c r="I474" s="4">
        <v>1509</v>
      </c>
      <c r="J474" t="s">
        <v>49</v>
      </c>
      <c r="K474" t="s">
        <v>38</v>
      </c>
      <c r="L474" t="s">
        <v>21</v>
      </c>
      <c r="M474" t="s">
        <v>31</v>
      </c>
      <c r="N474">
        <v>4</v>
      </c>
    </row>
    <row r="475" spans="1:14" x14ac:dyDescent="0.25">
      <c r="A475">
        <v>474</v>
      </c>
      <c r="B475">
        <v>28</v>
      </c>
      <c r="C475" t="s">
        <v>14</v>
      </c>
      <c r="D475" t="s">
        <v>36</v>
      </c>
      <c r="E475" t="s">
        <v>16</v>
      </c>
      <c r="F475" t="s">
        <v>45</v>
      </c>
      <c r="G475" s="4">
        <v>21</v>
      </c>
      <c r="H475" t="s">
        <v>47</v>
      </c>
      <c r="I475" s="4">
        <v>1694</v>
      </c>
      <c r="J475" t="s">
        <v>19</v>
      </c>
      <c r="K475" t="s">
        <v>48</v>
      </c>
      <c r="L475" t="s">
        <v>28</v>
      </c>
      <c r="M475" t="s">
        <v>31</v>
      </c>
      <c r="N475">
        <v>5</v>
      </c>
    </row>
    <row r="476" spans="1:14" x14ac:dyDescent="0.25">
      <c r="A476">
        <v>475</v>
      </c>
      <c r="B476">
        <v>31</v>
      </c>
      <c r="C476" t="s">
        <v>23</v>
      </c>
      <c r="D476" t="s">
        <v>36</v>
      </c>
      <c r="E476" t="s">
        <v>24</v>
      </c>
      <c r="F476" t="s">
        <v>30</v>
      </c>
      <c r="G476" s="4">
        <v>24</v>
      </c>
      <c r="H476" t="s">
        <v>37</v>
      </c>
      <c r="I476" s="4">
        <v>1296</v>
      </c>
      <c r="J476" t="s">
        <v>49</v>
      </c>
      <c r="K476" t="s">
        <v>20</v>
      </c>
      <c r="L476" t="s">
        <v>28</v>
      </c>
      <c r="M476" t="s">
        <v>22</v>
      </c>
      <c r="N476">
        <v>3</v>
      </c>
    </row>
    <row r="477" spans="1:14" x14ac:dyDescent="0.25">
      <c r="A477">
        <v>476</v>
      </c>
      <c r="B477">
        <v>37</v>
      </c>
      <c r="C477" t="s">
        <v>14</v>
      </c>
      <c r="D477" t="s">
        <v>15</v>
      </c>
      <c r="E477" t="s">
        <v>16</v>
      </c>
      <c r="F477" t="s">
        <v>33</v>
      </c>
      <c r="G477" s="4">
        <v>12</v>
      </c>
      <c r="H477" t="s">
        <v>43</v>
      </c>
      <c r="I477" s="4">
        <v>2902</v>
      </c>
      <c r="J477" t="s">
        <v>19</v>
      </c>
      <c r="K477" t="s">
        <v>38</v>
      </c>
      <c r="L477" t="s">
        <v>28</v>
      </c>
      <c r="M477" t="s">
        <v>31</v>
      </c>
      <c r="N477">
        <v>3</v>
      </c>
    </row>
    <row r="478" spans="1:14" x14ac:dyDescent="0.25">
      <c r="A478">
        <v>477</v>
      </c>
      <c r="B478">
        <v>19</v>
      </c>
      <c r="C478" t="s">
        <v>23</v>
      </c>
      <c r="D478" t="s">
        <v>15</v>
      </c>
      <c r="E478" t="s">
        <v>16</v>
      </c>
      <c r="F478" t="s">
        <v>17</v>
      </c>
      <c r="G478" s="4">
        <v>15</v>
      </c>
      <c r="H478" t="s">
        <v>40</v>
      </c>
      <c r="I478" s="4">
        <v>1432</v>
      </c>
      <c r="J478" t="s">
        <v>35</v>
      </c>
      <c r="K478" t="s">
        <v>34</v>
      </c>
      <c r="L478" t="s">
        <v>21</v>
      </c>
      <c r="M478" t="s">
        <v>31</v>
      </c>
      <c r="N478">
        <v>5</v>
      </c>
    </row>
    <row r="479" spans="1:14" x14ac:dyDescent="0.25">
      <c r="A479">
        <v>478</v>
      </c>
      <c r="B479">
        <v>27</v>
      </c>
      <c r="C479" t="s">
        <v>14</v>
      </c>
      <c r="D479" t="s">
        <v>15</v>
      </c>
      <c r="E479" t="s">
        <v>24</v>
      </c>
      <c r="F479" t="s">
        <v>30</v>
      </c>
      <c r="G479" s="4">
        <v>21</v>
      </c>
      <c r="H479" t="s">
        <v>34</v>
      </c>
      <c r="I479" s="4">
        <v>2252</v>
      </c>
      <c r="J479" t="s">
        <v>45</v>
      </c>
      <c r="K479" t="s">
        <v>48</v>
      </c>
      <c r="L479" t="s">
        <v>21</v>
      </c>
      <c r="M479" t="s">
        <v>22</v>
      </c>
      <c r="N479">
        <v>3</v>
      </c>
    </row>
    <row r="480" spans="1:14" x14ac:dyDescent="0.25">
      <c r="A480">
        <v>479</v>
      </c>
      <c r="B480">
        <v>28</v>
      </c>
      <c r="C480" t="s">
        <v>29</v>
      </c>
      <c r="D480" t="s">
        <v>15</v>
      </c>
      <c r="E480" t="s">
        <v>24</v>
      </c>
      <c r="F480" t="s">
        <v>25</v>
      </c>
      <c r="G480" s="4">
        <v>15</v>
      </c>
      <c r="H480" t="s">
        <v>43</v>
      </c>
      <c r="I480" s="4">
        <v>2754</v>
      </c>
      <c r="J480" t="s">
        <v>44</v>
      </c>
      <c r="K480" t="s">
        <v>20</v>
      </c>
      <c r="L480" t="s">
        <v>28</v>
      </c>
      <c r="M480" t="s">
        <v>31</v>
      </c>
      <c r="N480">
        <v>4</v>
      </c>
    </row>
    <row r="481" spans="1:14" x14ac:dyDescent="0.25">
      <c r="A481">
        <v>480</v>
      </c>
      <c r="B481">
        <v>31</v>
      </c>
      <c r="C481" t="s">
        <v>29</v>
      </c>
      <c r="D481" t="s">
        <v>36</v>
      </c>
      <c r="E481" t="s">
        <v>24</v>
      </c>
      <c r="F481" t="s">
        <v>17</v>
      </c>
      <c r="G481" s="4">
        <v>28</v>
      </c>
      <c r="H481" t="s">
        <v>34</v>
      </c>
      <c r="I481" s="4">
        <v>229</v>
      </c>
      <c r="J481" t="s">
        <v>41</v>
      </c>
      <c r="K481" t="s">
        <v>38</v>
      </c>
      <c r="L481" t="s">
        <v>28</v>
      </c>
      <c r="M481" t="s">
        <v>31</v>
      </c>
      <c r="N481">
        <v>5</v>
      </c>
    </row>
    <row r="482" spans="1:14" x14ac:dyDescent="0.25">
      <c r="A482">
        <v>481</v>
      </c>
      <c r="B482">
        <v>20</v>
      </c>
      <c r="C482" t="s">
        <v>29</v>
      </c>
      <c r="D482" t="s">
        <v>32</v>
      </c>
      <c r="E482" t="s">
        <v>24</v>
      </c>
      <c r="F482" t="s">
        <v>45</v>
      </c>
      <c r="G482" s="4">
        <v>9</v>
      </c>
      <c r="H482" t="s">
        <v>37</v>
      </c>
      <c r="I482" s="4">
        <v>1148</v>
      </c>
      <c r="J482" t="s">
        <v>45</v>
      </c>
      <c r="K482" t="s">
        <v>38</v>
      </c>
      <c r="L482" t="s">
        <v>21</v>
      </c>
      <c r="M482" t="s">
        <v>31</v>
      </c>
      <c r="N482">
        <v>1</v>
      </c>
    </row>
    <row r="483" spans="1:14" x14ac:dyDescent="0.25">
      <c r="A483">
        <v>482</v>
      </c>
      <c r="B483">
        <v>40</v>
      </c>
      <c r="C483" t="s">
        <v>29</v>
      </c>
      <c r="D483" t="s">
        <v>32</v>
      </c>
      <c r="E483" t="s">
        <v>16</v>
      </c>
      <c r="F483" t="s">
        <v>42</v>
      </c>
      <c r="G483" s="4">
        <v>15</v>
      </c>
      <c r="H483" t="s">
        <v>40</v>
      </c>
      <c r="I483" s="4">
        <v>2907</v>
      </c>
      <c r="J483" t="s">
        <v>50</v>
      </c>
      <c r="K483" t="s">
        <v>20</v>
      </c>
      <c r="L483" t="s">
        <v>28</v>
      </c>
      <c r="M483" t="s">
        <v>22</v>
      </c>
      <c r="N483">
        <v>1</v>
      </c>
    </row>
    <row r="484" spans="1:14" x14ac:dyDescent="0.25">
      <c r="A484">
        <v>483</v>
      </c>
      <c r="B484">
        <v>34</v>
      </c>
      <c r="C484" t="s">
        <v>29</v>
      </c>
      <c r="D484" t="s">
        <v>15</v>
      </c>
      <c r="E484" t="s">
        <v>16</v>
      </c>
      <c r="F484" t="s">
        <v>33</v>
      </c>
      <c r="G484" s="4">
        <v>14</v>
      </c>
      <c r="H484" t="s">
        <v>43</v>
      </c>
      <c r="I484" s="4">
        <v>716</v>
      </c>
      <c r="J484" t="s">
        <v>41</v>
      </c>
      <c r="K484" t="s">
        <v>20</v>
      </c>
      <c r="L484" t="s">
        <v>21</v>
      </c>
      <c r="M484" t="s">
        <v>22</v>
      </c>
      <c r="N484">
        <v>1</v>
      </c>
    </row>
    <row r="485" spans="1:14" x14ac:dyDescent="0.25">
      <c r="A485">
        <v>484</v>
      </c>
      <c r="B485">
        <v>28</v>
      </c>
      <c r="C485" t="s">
        <v>29</v>
      </c>
      <c r="D485" t="s">
        <v>32</v>
      </c>
      <c r="E485" t="s">
        <v>16</v>
      </c>
      <c r="F485" t="s">
        <v>33</v>
      </c>
      <c r="G485" s="4">
        <v>20</v>
      </c>
      <c r="H485" t="s">
        <v>37</v>
      </c>
      <c r="I485" s="4">
        <v>3000</v>
      </c>
      <c r="J485" t="s">
        <v>27</v>
      </c>
      <c r="K485" t="s">
        <v>48</v>
      </c>
      <c r="L485" t="s">
        <v>28</v>
      </c>
      <c r="M485" t="s">
        <v>31</v>
      </c>
      <c r="N485">
        <v>5</v>
      </c>
    </row>
    <row r="486" spans="1:14" x14ac:dyDescent="0.25">
      <c r="A486">
        <v>485</v>
      </c>
      <c r="B486">
        <v>40</v>
      </c>
      <c r="C486" t="s">
        <v>29</v>
      </c>
      <c r="D486" t="s">
        <v>15</v>
      </c>
      <c r="E486" t="s">
        <v>24</v>
      </c>
      <c r="F486" t="s">
        <v>45</v>
      </c>
      <c r="G486" s="4">
        <v>21</v>
      </c>
      <c r="H486" t="s">
        <v>18</v>
      </c>
      <c r="I486" s="4">
        <v>474</v>
      </c>
      <c r="J486" t="s">
        <v>50</v>
      </c>
      <c r="K486" t="s">
        <v>20</v>
      </c>
      <c r="L486" t="s">
        <v>21</v>
      </c>
      <c r="M486" t="s">
        <v>22</v>
      </c>
      <c r="N486">
        <v>1</v>
      </c>
    </row>
    <row r="487" spans="1:14" x14ac:dyDescent="0.25">
      <c r="A487">
        <v>486</v>
      </c>
      <c r="B487">
        <v>34</v>
      </c>
      <c r="C487" t="s">
        <v>14</v>
      </c>
      <c r="D487" t="s">
        <v>36</v>
      </c>
      <c r="E487" t="s">
        <v>39</v>
      </c>
      <c r="F487" t="s">
        <v>17</v>
      </c>
      <c r="G487" s="4">
        <v>29</v>
      </c>
      <c r="H487" t="s">
        <v>40</v>
      </c>
      <c r="I487" s="4">
        <v>2699</v>
      </c>
      <c r="J487" t="s">
        <v>50</v>
      </c>
      <c r="K487" t="s">
        <v>38</v>
      </c>
      <c r="L487" t="s">
        <v>21</v>
      </c>
      <c r="M487" t="s">
        <v>31</v>
      </c>
      <c r="N487">
        <v>3</v>
      </c>
    </row>
    <row r="488" spans="1:14" x14ac:dyDescent="0.25">
      <c r="A488">
        <v>487</v>
      </c>
      <c r="B488">
        <v>26</v>
      </c>
      <c r="C488" t="s">
        <v>23</v>
      </c>
      <c r="D488" t="s">
        <v>15</v>
      </c>
      <c r="E488" t="s">
        <v>39</v>
      </c>
      <c r="F488" t="s">
        <v>25</v>
      </c>
      <c r="G488" s="4">
        <v>22</v>
      </c>
      <c r="H488" t="s">
        <v>37</v>
      </c>
      <c r="I488" s="4">
        <v>1307</v>
      </c>
      <c r="J488" t="s">
        <v>35</v>
      </c>
      <c r="K488" t="s">
        <v>48</v>
      </c>
      <c r="L488" t="s">
        <v>21</v>
      </c>
      <c r="M488" t="s">
        <v>22</v>
      </c>
      <c r="N488">
        <v>4</v>
      </c>
    </row>
    <row r="489" spans="1:14" x14ac:dyDescent="0.25">
      <c r="A489">
        <v>488</v>
      </c>
      <c r="B489">
        <v>24</v>
      </c>
      <c r="C489" t="s">
        <v>29</v>
      </c>
      <c r="D489" t="s">
        <v>32</v>
      </c>
      <c r="E489" t="s">
        <v>16</v>
      </c>
      <c r="F489" t="s">
        <v>17</v>
      </c>
      <c r="G489" s="4">
        <v>22</v>
      </c>
      <c r="H489" t="s">
        <v>46</v>
      </c>
      <c r="I489" s="4">
        <v>1434</v>
      </c>
      <c r="J489" t="s">
        <v>27</v>
      </c>
      <c r="K489" t="s">
        <v>38</v>
      </c>
      <c r="L489" t="s">
        <v>21</v>
      </c>
      <c r="M489" t="s">
        <v>31</v>
      </c>
      <c r="N489">
        <v>5</v>
      </c>
    </row>
    <row r="490" spans="1:14" x14ac:dyDescent="0.25">
      <c r="A490">
        <v>489</v>
      </c>
      <c r="B490">
        <v>37</v>
      </c>
      <c r="C490" t="s">
        <v>14</v>
      </c>
      <c r="D490" t="s">
        <v>15</v>
      </c>
      <c r="E490" t="s">
        <v>16</v>
      </c>
      <c r="F490" t="s">
        <v>42</v>
      </c>
      <c r="G490" s="4">
        <v>15</v>
      </c>
      <c r="H490" t="s">
        <v>47</v>
      </c>
      <c r="I490" s="4">
        <v>2214</v>
      </c>
      <c r="J490" t="s">
        <v>19</v>
      </c>
      <c r="K490" t="s">
        <v>20</v>
      </c>
      <c r="L490" t="s">
        <v>21</v>
      </c>
      <c r="M490" t="s">
        <v>22</v>
      </c>
      <c r="N490">
        <v>4</v>
      </c>
    </row>
    <row r="491" spans="1:14" x14ac:dyDescent="0.25">
      <c r="A491">
        <v>490</v>
      </c>
      <c r="B491">
        <v>31</v>
      </c>
      <c r="C491" t="s">
        <v>23</v>
      </c>
      <c r="D491" t="s">
        <v>36</v>
      </c>
      <c r="E491" t="s">
        <v>24</v>
      </c>
      <c r="F491" t="s">
        <v>17</v>
      </c>
      <c r="G491" s="4">
        <v>17</v>
      </c>
      <c r="H491" t="s">
        <v>43</v>
      </c>
      <c r="I491" s="4">
        <v>733</v>
      </c>
      <c r="J491" t="s">
        <v>50</v>
      </c>
      <c r="K491" t="s">
        <v>34</v>
      </c>
      <c r="L491" t="s">
        <v>28</v>
      </c>
      <c r="M491" t="s">
        <v>22</v>
      </c>
      <c r="N491">
        <v>5</v>
      </c>
    </row>
    <row r="492" spans="1:14" x14ac:dyDescent="0.25">
      <c r="A492">
        <v>491</v>
      </c>
      <c r="B492">
        <v>40</v>
      </c>
      <c r="C492" t="s">
        <v>14</v>
      </c>
      <c r="D492" t="s">
        <v>32</v>
      </c>
      <c r="E492" t="s">
        <v>24</v>
      </c>
      <c r="F492" t="s">
        <v>25</v>
      </c>
      <c r="G492" s="4">
        <v>29</v>
      </c>
      <c r="H492" t="s">
        <v>18</v>
      </c>
      <c r="I492" s="4">
        <v>2747</v>
      </c>
      <c r="J492" t="s">
        <v>49</v>
      </c>
      <c r="K492" t="s">
        <v>48</v>
      </c>
      <c r="L492" t="s">
        <v>28</v>
      </c>
      <c r="M492" t="s">
        <v>31</v>
      </c>
      <c r="N492">
        <v>5</v>
      </c>
    </row>
    <row r="493" spans="1:14" x14ac:dyDescent="0.25">
      <c r="A493">
        <v>492</v>
      </c>
      <c r="B493">
        <v>39</v>
      </c>
      <c r="C493" t="s">
        <v>29</v>
      </c>
      <c r="D493" t="s">
        <v>15</v>
      </c>
      <c r="E493" t="s">
        <v>16</v>
      </c>
      <c r="F493" t="s">
        <v>25</v>
      </c>
      <c r="G493" s="4">
        <v>25</v>
      </c>
      <c r="H493" t="s">
        <v>46</v>
      </c>
      <c r="I493" s="4">
        <v>2909</v>
      </c>
      <c r="J493" t="s">
        <v>50</v>
      </c>
      <c r="K493" t="s">
        <v>20</v>
      </c>
      <c r="L493" t="s">
        <v>21</v>
      </c>
      <c r="M493" t="s">
        <v>31</v>
      </c>
      <c r="N493">
        <v>4</v>
      </c>
    </row>
    <row r="494" spans="1:14" x14ac:dyDescent="0.25">
      <c r="A494">
        <v>493</v>
      </c>
      <c r="B494">
        <v>28</v>
      </c>
      <c r="C494" t="s">
        <v>14</v>
      </c>
      <c r="D494" t="s">
        <v>32</v>
      </c>
      <c r="E494" t="s">
        <v>16</v>
      </c>
      <c r="F494" t="s">
        <v>30</v>
      </c>
      <c r="G494" s="4">
        <v>19</v>
      </c>
      <c r="H494" t="s">
        <v>43</v>
      </c>
      <c r="I494" s="4">
        <v>1996</v>
      </c>
      <c r="J494" t="s">
        <v>49</v>
      </c>
      <c r="K494" t="s">
        <v>38</v>
      </c>
      <c r="L494" t="s">
        <v>28</v>
      </c>
      <c r="M494" t="s">
        <v>31</v>
      </c>
      <c r="N494">
        <v>1</v>
      </c>
    </row>
    <row r="495" spans="1:14" x14ac:dyDescent="0.25">
      <c r="A495">
        <v>494</v>
      </c>
      <c r="B495">
        <v>37</v>
      </c>
      <c r="C495" t="s">
        <v>14</v>
      </c>
      <c r="D495" t="s">
        <v>32</v>
      </c>
      <c r="E495" t="s">
        <v>24</v>
      </c>
      <c r="F495" t="s">
        <v>33</v>
      </c>
      <c r="G495" s="4">
        <v>23</v>
      </c>
      <c r="H495" t="s">
        <v>34</v>
      </c>
      <c r="I495" s="4">
        <v>521</v>
      </c>
      <c r="J495" t="s">
        <v>19</v>
      </c>
      <c r="K495" t="s">
        <v>34</v>
      </c>
      <c r="L495" t="s">
        <v>28</v>
      </c>
      <c r="M495" t="s">
        <v>31</v>
      </c>
      <c r="N495">
        <v>5</v>
      </c>
    </row>
    <row r="496" spans="1:14" x14ac:dyDescent="0.25">
      <c r="A496">
        <v>495</v>
      </c>
      <c r="B496">
        <v>36</v>
      </c>
      <c r="C496" t="s">
        <v>14</v>
      </c>
      <c r="D496" t="s">
        <v>36</v>
      </c>
      <c r="E496" t="s">
        <v>16</v>
      </c>
      <c r="F496" t="s">
        <v>42</v>
      </c>
      <c r="G496" s="4">
        <v>18</v>
      </c>
      <c r="H496" t="s">
        <v>26</v>
      </c>
      <c r="I496" s="4">
        <v>977</v>
      </c>
      <c r="J496" t="s">
        <v>19</v>
      </c>
      <c r="K496" t="s">
        <v>34</v>
      </c>
      <c r="L496" t="s">
        <v>21</v>
      </c>
      <c r="M496" t="s">
        <v>31</v>
      </c>
      <c r="N496">
        <v>5</v>
      </c>
    </row>
    <row r="497" spans="1:14" x14ac:dyDescent="0.25">
      <c r="A497">
        <v>496</v>
      </c>
      <c r="B497">
        <v>31</v>
      </c>
      <c r="C497" t="s">
        <v>23</v>
      </c>
      <c r="D497" t="s">
        <v>15</v>
      </c>
      <c r="E497" t="s">
        <v>16</v>
      </c>
      <c r="F497" t="s">
        <v>17</v>
      </c>
      <c r="G497" s="4">
        <v>23</v>
      </c>
      <c r="H497" t="s">
        <v>18</v>
      </c>
      <c r="I497" s="4">
        <v>1401</v>
      </c>
      <c r="J497" t="s">
        <v>49</v>
      </c>
      <c r="K497" t="s">
        <v>48</v>
      </c>
      <c r="L497" t="s">
        <v>28</v>
      </c>
      <c r="M497" t="s">
        <v>31</v>
      </c>
      <c r="N497">
        <v>5</v>
      </c>
    </row>
    <row r="498" spans="1:14" x14ac:dyDescent="0.25">
      <c r="A498">
        <v>497</v>
      </c>
      <c r="B498">
        <v>35</v>
      </c>
      <c r="C498" t="s">
        <v>29</v>
      </c>
      <c r="D498" t="s">
        <v>32</v>
      </c>
      <c r="E498" t="s">
        <v>16</v>
      </c>
      <c r="F498" t="s">
        <v>45</v>
      </c>
      <c r="G498" s="4">
        <v>8</v>
      </c>
      <c r="H498" t="s">
        <v>18</v>
      </c>
      <c r="I498" s="4">
        <v>1823</v>
      </c>
      <c r="J498" t="s">
        <v>45</v>
      </c>
      <c r="K498" t="s">
        <v>34</v>
      </c>
      <c r="L498" t="s">
        <v>28</v>
      </c>
      <c r="M498" t="s">
        <v>22</v>
      </c>
      <c r="N498">
        <v>2</v>
      </c>
    </row>
    <row r="499" spans="1:14" x14ac:dyDescent="0.25">
      <c r="A499">
        <v>498</v>
      </c>
      <c r="B499">
        <v>20</v>
      </c>
      <c r="C499" t="s">
        <v>23</v>
      </c>
      <c r="D499" t="s">
        <v>15</v>
      </c>
      <c r="E499" t="s">
        <v>16</v>
      </c>
      <c r="F499" t="s">
        <v>17</v>
      </c>
      <c r="G499" s="4">
        <v>11</v>
      </c>
      <c r="H499" t="s">
        <v>37</v>
      </c>
      <c r="I499" s="4">
        <v>569</v>
      </c>
      <c r="J499" t="s">
        <v>49</v>
      </c>
      <c r="K499" t="s">
        <v>34</v>
      </c>
      <c r="L499" t="s">
        <v>28</v>
      </c>
      <c r="M499" t="s">
        <v>31</v>
      </c>
      <c r="N499">
        <v>5</v>
      </c>
    </row>
    <row r="500" spans="1:14" x14ac:dyDescent="0.25">
      <c r="A500">
        <v>499</v>
      </c>
      <c r="B500">
        <v>24</v>
      </c>
      <c r="C500" t="s">
        <v>29</v>
      </c>
      <c r="D500" t="s">
        <v>36</v>
      </c>
      <c r="E500" t="s">
        <v>24</v>
      </c>
      <c r="F500" t="s">
        <v>30</v>
      </c>
      <c r="G500" s="4">
        <v>11</v>
      </c>
      <c r="H500" t="s">
        <v>26</v>
      </c>
      <c r="I500" s="4">
        <v>2791</v>
      </c>
      <c r="J500" t="s">
        <v>50</v>
      </c>
      <c r="K500" t="s">
        <v>48</v>
      </c>
      <c r="L500" t="s">
        <v>21</v>
      </c>
      <c r="M500" t="s">
        <v>31</v>
      </c>
      <c r="N500">
        <v>3</v>
      </c>
    </row>
    <row r="501" spans="1:14" x14ac:dyDescent="0.25">
      <c r="A501">
        <v>500</v>
      </c>
      <c r="B501">
        <v>22</v>
      </c>
      <c r="C501" t="s">
        <v>23</v>
      </c>
      <c r="D501" t="s">
        <v>15</v>
      </c>
      <c r="E501" t="s">
        <v>16</v>
      </c>
      <c r="F501" t="s">
        <v>17</v>
      </c>
      <c r="G501" s="4">
        <v>14</v>
      </c>
      <c r="H501" t="s">
        <v>34</v>
      </c>
      <c r="I501" s="4">
        <v>255</v>
      </c>
      <c r="J501" t="s">
        <v>19</v>
      </c>
      <c r="K501" t="s">
        <v>34</v>
      </c>
      <c r="L501" t="s">
        <v>21</v>
      </c>
      <c r="M501" t="s">
        <v>22</v>
      </c>
      <c r="N501">
        <v>3</v>
      </c>
    </row>
    <row r="502" spans="1:14" x14ac:dyDescent="0.25">
      <c r="A502">
        <v>501</v>
      </c>
      <c r="B502">
        <v>31</v>
      </c>
      <c r="C502" t="s">
        <v>23</v>
      </c>
      <c r="D502" t="s">
        <v>32</v>
      </c>
      <c r="E502" t="s">
        <v>24</v>
      </c>
      <c r="F502" t="s">
        <v>42</v>
      </c>
      <c r="G502" s="4">
        <v>27</v>
      </c>
      <c r="H502" t="s">
        <v>26</v>
      </c>
      <c r="I502" s="4">
        <v>2417</v>
      </c>
      <c r="J502" t="s">
        <v>45</v>
      </c>
      <c r="K502" t="s">
        <v>20</v>
      </c>
      <c r="L502" t="s">
        <v>21</v>
      </c>
      <c r="M502" t="s">
        <v>22</v>
      </c>
      <c r="N502">
        <v>4</v>
      </c>
    </row>
    <row r="503" spans="1:14" x14ac:dyDescent="0.25">
      <c r="A503">
        <v>502</v>
      </c>
      <c r="B503">
        <v>33</v>
      </c>
      <c r="C503" t="s">
        <v>29</v>
      </c>
      <c r="D503" t="s">
        <v>32</v>
      </c>
      <c r="E503" t="s">
        <v>39</v>
      </c>
      <c r="F503" t="s">
        <v>25</v>
      </c>
      <c r="G503" s="4">
        <v>9</v>
      </c>
      <c r="H503" t="s">
        <v>46</v>
      </c>
      <c r="I503" s="4">
        <v>770</v>
      </c>
      <c r="J503" t="s">
        <v>44</v>
      </c>
      <c r="K503" t="s">
        <v>38</v>
      </c>
      <c r="L503" t="s">
        <v>21</v>
      </c>
      <c r="M503" t="s">
        <v>22</v>
      </c>
      <c r="N503">
        <v>5</v>
      </c>
    </row>
    <row r="504" spans="1:14" x14ac:dyDescent="0.25">
      <c r="A504">
        <v>503</v>
      </c>
      <c r="B504">
        <v>38</v>
      </c>
      <c r="C504" t="s">
        <v>23</v>
      </c>
      <c r="D504" t="s">
        <v>32</v>
      </c>
      <c r="E504" t="s">
        <v>16</v>
      </c>
      <c r="F504" t="s">
        <v>33</v>
      </c>
      <c r="G504" s="4">
        <v>5</v>
      </c>
      <c r="H504" t="s">
        <v>37</v>
      </c>
      <c r="I504" s="4">
        <v>589</v>
      </c>
      <c r="J504" t="s">
        <v>45</v>
      </c>
      <c r="K504" t="s">
        <v>20</v>
      </c>
      <c r="L504" t="s">
        <v>28</v>
      </c>
      <c r="M504" t="s">
        <v>22</v>
      </c>
      <c r="N504">
        <v>4</v>
      </c>
    </row>
    <row r="505" spans="1:14" x14ac:dyDescent="0.25">
      <c r="A505">
        <v>504</v>
      </c>
      <c r="B505">
        <v>32</v>
      </c>
      <c r="C505" t="s">
        <v>29</v>
      </c>
      <c r="D505" t="s">
        <v>32</v>
      </c>
      <c r="E505" t="s">
        <v>39</v>
      </c>
      <c r="F505" t="s">
        <v>25</v>
      </c>
      <c r="G505" s="4">
        <v>21</v>
      </c>
      <c r="H505" t="s">
        <v>37</v>
      </c>
      <c r="I505" s="4">
        <v>1737</v>
      </c>
      <c r="J505" t="s">
        <v>45</v>
      </c>
      <c r="K505" t="s">
        <v>48</v>
      </c>
      <c r="L505" t="s">
        <v>28</v>
      </c>
      <c r="M505" t="s">
        <v>22</v>
      </c>
      <c r="N505">
        <v>5</v>
      </c>
    </row>
    <row r="506" spans="1:14" x14ac:dyDescent="0.25">
      <c r="A506">
        <v>505</v>
      </c>
      <c r="B506">
        <v>40</v>
      </c>
      <c r="C506" t="s">
        <v>23</v>
      </c>
      <c r="D506" t="s">
        <v>36</v>
      </c>
      <c r="E506" t="s">
        <v>39</v>
      </c>
      <c r="F506" t="s">
        <v>33</v>
      </c>
      <c r="G506" s="4">
        <v>21</v>
      </c>
      <c r="H506" t="s">
        <v>47</v>
      </c>
      <c r="I506" s="4">
        <v>1102</v>
      </c>
      <c r="J506" t="s">
        <v>49</v>
      </c>
      <c r="K506" t="s">
        <v>34</v>
      </c>
      <c r="L506" t="s">
        <v>21</v>
      </c>
      <c r="M506" t="s">
        <v>31</v>
      </c>
      <c r="N506">
        <v>4</v>
      </c>
    </row>
    <row r="507" spans="1:14" x14ac:dyDescent="0.25">
      <c r="A507">
        <v>506</v>
      </c>
      <c r="B507">
        <v>40</v>
      </c>
      <c r="C507" t="s">
        <v>29</v>
      </c>
      <c r="D507" t="s">
        <v>32</v>
      </c>
      <c r="E507" t="s">
        <v>24</v>
      </c>
      <c r="F507" t="s">
        <v>33</v>
      </c>
      <c r="G507" s="4">
        <v>7</v>
      </c>
      <c r="H507" t="s">
        <v>18</v>
      </c>
      <c r="I507" s="4">
        <v>581</v>
      </c>
      <c r="J507" t="s">
        <v>27</v>
      </c>
      <c r="K507" t="s">
        <v>20</v>
      </c>
      <c r="L507" t="s">
        <v>21</v>
      </c>
      <c r="M507" t="s">
        <v>31</v>
      </c>
      <c r="N507">
        <v>5</v>
      </c>
    </row>
    <row r="508" spans="1:14" x14ac:dyDescent="0.25">
      <c r="A508">
        <v>507</v>
      </c>
      <c r="B508">
        <v>37</v>
      </c>
      <c r="C508" t="s">
        <v>14</v>
      </c>
      <c r="D508" t="s">
        <v>32</v>
      </c>
      <c r="E508" t="s">
        <v>39</v>
      </c>
      <c r="F508" t="s">
        <v>45</v>
      </c>
      <c r="G508" s="4">
        <v>6</v>
      </c>
      <c r="H508" t="s">
        <v>43</v>
      </c>
      <c r="I508" s="4">
        <v>1407</v>
      </c>
      <c r="J508" t="s">
        <v>50</v>
      </c>
      <c r="K508" t="s">
        <v>20</v>
      </c>
      <c r="L508" t="s">
        <v>28</v>
      </c>
      <c r="M508" t="s">
        <v>31</v>
      </c>
      <c r="N508">
        <v>5</v>
      </c>
    </row>
    <row r="509" spans="1:14" x14ac:dyDescent="0.25">
      <c r="A509">
        <v>508</v>
      </c>
      <c r="B509">
        <v>27</v>
      </c>
      <c r="C509" t="s">
        <v>23</v>
      </c>
      <c r="D509" t="s">
        <v>32</v>
      </c>
      <c r="E509" t="s">
        <v>24</v>
      </c>
      <c r="F509" t="s">
        <v>45</v>
      </c>
      <c r="G509" s="4">
        <v>10</v>
      </c>
      <c r="H509" t="s">
        <v>46</v>
      </c>
      <c r="I509" s="4">
        <v>144</v>
      </c>
      <c r="J509" t="s">
        <v>41</v>
      </c>
      <c r="K509" t="s">
        <v>20</v>
      </c>
      <c r="L509" t="s">
        <v>21</v>
      </c>
      <c r="M509" t="s">
        <v>22</v>
      </c>
      <c r="N509">
        <v>5</v>
      </c>
    </row>
    <row r="510" spans="1:14" x14ac:dyDescent="0.25">
      <c r="A510">
        <v>509</v>
      </c>
      <c r="B510">
        <v>39</v>
      </c>
      <c r="C510" t="s">
        <v>29</v>
      </c>
      <c r="D510" t="s">
        <v>32</v>
      </c>
      <c r="E510" t="s">
        <v>16</v>
      </c>
      <c r="F510" t="s">
        <v>25</v>
      </c>
      <c r="G510" s="4">
        <v>14</v>
      </c>
      <c r="H510" t="s">
        <v>18</v>
      </c>
      <c r="I510" s="4">
        <v>2557</v>
      </c>
      <c r="J510" t="s">
        <v>35</v>
      </c>
      <c r="K510" t="s">
        <v>34</v>
      </c>
      <c r="L510" t="s">
        <v>21</v>
      </c>
      <c r="M510" t="s">
        <v>31</v>
      </c>
      <c r="N510">
        <v>1</v>
      </c>
    </row>
    <row r="511" spans="1:14" x14ac:dyDescent="0.25">
      <c r="A511">
        <v>510</v>
      </c>
      <c r="B511">
        <v>26</v>
      </c>
      <c r="C511" t="s">
        <v>23</v>
      </c>
      <c r="D511" t="s">
        <v>15</v>
      </c>
      <c r="E511" t="s">
        <v>24</v>
      </c>
      <c r="F511" t="s">
        <v>17</v>
      </c>
      <c r="G511" s="4">
        <v>13</v>
      </c>
      <c r="H511" t="s">
        <v>37</v>
      </c>
      <c r="I511" s="4">
        <v>58</v>
      </c>
      <c r="J511" t="s">
        <v>49</v>
      </c>
      <c r="K511" t="s">
        <v>34</v>
      </c>
      <c r="L511" t="s">
        <v>21</v>
      </c>
      <c r="M511" t="s">
        <v>31</v>
      </c>
      <c r="N511">
        <v>1</v>
      </c>
    </row>
    <row r="512" spans="1:14" x14ac:dyDescent="0.25">
      <c r="A512">
        <v>511</v>
      </c>
      <c r="B512">
        <v>40</v>
      </c>
      <c r="C512" t="s">
        <v>23</v>
      </c>
      <c r="D512" t="s">
        <v>15</v>
      </c>
      <c r="E512" t="s">
        <v>39</v>
      </c>
      <c r="F512" t="s">
        <v>33</v>
      </c>
      <c r="G512" s="4">
        <v>12</v>
      </c>
      <c r="H512" t="s">
        <v>37</v>
      </c>
      <c r="I512" s="4">
        <v>1986</v>
      </c>
      <c r="J512" t="s">
        <v>44</v>
      </c>
      <c r="K512" t="s">
        <v>20</v>
      </c>
      <c r="L512" t="s">
        <v>28</v>
      </c>
      <c r="M512" t="s">
        <v>31</v>
      </c>
      <c r="N512">
        <v>2</v>
      </c>
    </row>
    <row r="513" spans="1:14" x14ac:dyDescent="0.25">
      <c r="A513">
        <v>512</v>
      </c>
      <c r="B513">
        <v>25</v>
      </c>
      <c r="C513" t="s">
        <v>14</v>
      </c>
      <c r="D513" t="s">
        <v>36</v>
      </c>
      <c r="E513" t="s">
        <v>24</v>
      </c>
      <c r="F513" t="s">
        <v>30</v>
      </c>
      <c r="G513" s="4">
        <v>26</v>
      </c>
      <c r="H513" t="s">
        <v>47</v>
      </c>
      <c r="I513" s="4">
        <v>1802</v>
      </c>
      <c r="J513" t="s">
        <v>35</v>
      </c>
      <c r="K513" t="s">
        <v>48</v>
      </c>
      <c r="L513" t="s">
        <v>21</v>
      </c>
      <c r="M513" t="s">
        <v>22</v>
      </c>
      <c r="N513">
        <v>2</v>
      </c>
    </row>
    <row r="514" spans="1:14" x14ac:dyDescent="0.25">
      <c r="A514">
        <v>513</v>
      </c>
      <c r="B514">
        <v>32</v>
      </c>
      <c r="C514" t="s">
        <v>29</v>
      </c>
      <c r="D514" t="s">
        <v>36</v>
      </c>
      <c r="E514" t="s">
        <v>24</v>
      </c>
      <c r="F514" t="s">
        <v>25</v>
      </c>
      <c r="G514" s="4">
        <v>17</v>
      </c>
      <c r="H514" t="s">
        <v>26</v>
      </c>
      <c r="I514" s="4">
        <v>1950</v>
      </c>
      <c r="J514" t="s">
        <v>45</v>
      </c>
      <c r="K514" t="s">
        <v>20</v>
      </c>
      <c r="L514" t="s">
        <v>28</v>
      </c>
      <c r="M514" t="s">
        <v>22</v>
      </c>
      <c r="N514">
        <v>3</v>
      </c>
    </row>
    <row r="515" spans="1:14" x14ac:dyDescent="0.25">
      <c r="A515">
        <v>514</v>
      </c>
      <c r="B515">
        <v>34</v>
      </c>
      <c r="C515" t="s">
        <v>29</v>
      </c>
      <c r="D515" t="s">
        <v>32</v>
      </c>
      <c r="E515" t="s">
        <v>24</v>
      </c>
      <c r="F515" t="s">
        <v>30</v>
      </c>
      <c r="G515" s="4">
        <v>18</v>
      </c>
      <c r="H515" t="s">
        <v>47</v>
      </c>
      <c r="I515" s="4">
        <v>48</v>
      </c>
      <c r="J515" t="s">
        <v>19</v>
      </c>
      <c r="K515" t="s">
        <v>34</v>
      </c>
      <c r="L515" t="s">
        <v>28</v>
      </c>
      <c r="M515" t="s">
        <v>31</v>
      </c>
      <c r="N515">
        <v>3</v>
      </c>
    </row>
    <row r="516" spans="1:14" x14ac:dyDescent="0.25">
      <c r="A516">
        <v>515</v>
      </c>
      <c r="B516">
        <v>28</v>
      </c>
      <c r="C516" t="s">
        <v>29</v>
      </c>
      <c r="D516" t="s">
        <v>36</v>
      </c>
      <c r="E516" t="s">
        <v>24</v>
      </c>
      <c r="F516" t="s">
        <v>42</v>
      </c>
      <c r="G516" s="4">
        <v>13</v>
      </c>
      <c r="H516" t="s">
        <v>43</v>
      </c>
      <c r="I516" s="4">
        <v>1093</v>
      </c>
      <c r="J516" t="s">
        <v>27</v>
      </c>
      <c r="K516" t="s">
        <v>38</v>
      </c>
      <c r="L516" t="s">
        <v>28</v>
      </c>
      <c r="M516" t="s">
        <v>22</v>
      </c>
      <c r="N516">
        <v>1</v>
      </c>
    </row>
    <row r="517" spans="1:14" x14ac:dyDescent="0.25">
      <c r="A517">
        <v>516</v>
      </c>
      <c r="B517">
        <v>28</v>
      </c>
      <c r="C517" t="s">
        <v>14</v>
      </c>
      <c r="D517" t="s">
        <v>15</v>
      </c>
      <c r="E517" t="s">
        <v>39</v>
      </c>
      <c r="F517" t="s">
        <v>33</v>
      </c>
      <c r="G517" s="4">
        <v>22</v>
      </c>
      <c r="H517" t="s">
        <v>18</v>
      </c>
      <c r="I517" s="4">
        <v>43</v>
      </c>
      <c r="J517" t="s">
        <v>49</v>
      </c>
      <c r="K517" t="s">
        <v>34</v>
      </c>
      <c r="L517" t="s">
        <v>21</v>
      </c>
      <c r="M517" t="s">
        <v>31</v>
      </c>
      <c r="N517">
        <v>1</v>
      </c>
    </row>
    <row r="518" spans="1:14" x14ac:dyDescent="0.25">
      <c r="A518">
        <v>517</v>
      </c>
      <c r="B518">
        <v>26</v>
      </c>
      <c r="C518" t="s">
        <v>23</v>
      </c>
      <c r="D518" t="s">
        <v>15</v>
      </c>
      <c r="E518" t="s">
        <v>16</v>
      </c>
      <c r="F518" t="s">
        <v>45</v>
      </c>
      <c r="G518" s="4">
        <v>11</v>
      </c>
      <c r="H518" t="s">
        <v>40</v>
      </c>
      <c r="I518" s="4">
        <v>139</v>
      </c>
      <c r="J518" t="s">
        <v>19</v>
      </c>
      <c r="K518" t="s">
        <v>48</v>
      </c>
      <c r="L518" t="s">
        <v>21</v>
      </c>
      <c r="M518" t="s">
        <v>22</v>
      </c>
      <c r="N518">
        <v>1</v>
      </c>
    </row>
    <row r="519" spans="1:14" x14ac:dyDescent="0.25">
      <c r="A519">
        <v>518</v>
      </c>
      <c r="B519">
        <v>30</v>
      </c>
      <c r="C519" t="s">
        <v>14</v>
      </c>
      <c r="D519" t="s">
        <v>15</v>
      </c>
      <c r="E519" t="s">
        <v>24</v>
      </c>
      <c r="F519" t="s">
        <v>25</v>
      </c>
      <c r="G519" s="4">
        <v>26</v>
      </c>
      <c r="H519" t="s">
        <v>46</v>
      </c>
      <c r="I519" s="4">
        <v>2653</v>
      </c>
      <c r="J519" t="s">
        <v>35</v>
      </c>
      <c r="K519" t="s">
        <v>20</v>
      </c>
      <c r="L519" t="s">
        <v>21</v>
      </c>
      <c r="M519" t="s">
        <v>31</v>
      </c>
      <c r="N519">
        <v>5</v>
      </c>
    </row>
    <row r="520" spans="1:14" x14ac:dyDescent="0.25">
      <c r="A520">
        <v>519</v>
      </c>
      <c r="B520">
        <v>26</v>
      </c>
      <c r="C520" t="s">
        <v>29</v>
      </c>
      <c r="D520" t="s">
        <v>15</v>
      </c>
      <c r="E520" t="s">
        <v>16</v>
      </c>
      <c r="F520" t="s">
        <v>30</v>
      </c>
      <c r="G520" s="4">
        <v>29</v>
      </c>
      <c r="H520" t="s">
        <v>47</v>
      </c>
      <c r="I520" s="4">
        <v>1748</v>
      </c>
      <c r="J520" t="s">
        <v>45</v>
      </c>
      <c r="K520" t="s">
        <v>20</v>
      </c>
      <c r="L520" t="s">
        <v>28</v>
      </c>
      <c r="M520" t="s">
        <v>22</v>
      </c>
      <c r="N520">
        <v>3</v>
      </c>
    </row>
    <row r="521" spans="1:14" x14ac:dyDescent="0.25">
      <c r="A521">
        <v>520</v>
      </c>
      <c r="B521">
        <v>26</v>
      </c>
      <c r="C521" t="s">
        <v>14</v>
      </c>
      <c r="D521" t="s">
        <v>32</v>
      </c>
      <c r="E521" t="s">
        <v>16</v>
      </c>
      <c r="F521" t="s">
        <v>45</v>
      </c>
      <c r="G521" s="4">
        <v>13</v>
      </c>
      <c r="H521" t="s">
        <v>26</v>
      </c>
      <c r="I521" s="4">
        <v>728</v>
      </c>
      <c r="J521" t="s">
        <v>44</v>
      </c>
      <c r="K521" t="s">
        <v>20</v>
      </c>
      <c r="L521" t="s">
        <v>21</v>
      </c>
      <c r="M521" t="s">
        <v>22</v>
      </c>
      <c r="N521">
        <v>4</v>
      </c>
    </row>
    <row r="522" spans="1:14" x14ac:dyDescent="0.25">
      <c r="A522">
        <v>521</v>
      </c>
      <c r="B522">
        <v>35</v>
      </c>
      <c r="C522" t="s">
        <v>23</v>
      </c>
      <c r="D522" t="s">
        <v>36</v>
      </c>
      <c r="E522" t="s">
        <v>16</v>
      </c>
      <c r="F522" t="s">
        <v>42</v>
      </c>
      <c r="G522" s="4">
        <v>29</v>
      </c>
      <c r="H522" t="s">
        <v>46</v>
      </c>
      <c r="I522" s="4">
        <v>1766</v>
      </c>
      <c r="J522" t="s">
        <v>19</v>
      </c>
      <c r="K522" t="s">
        <v>48</v>
      </c>
      <c r="L522" t="s">
        <v>21</v>
      </c>
      <c r="M522" t="s">
        <v>22</v>
      </c>
      <c r="N522">
        <v>2</v>
      </c>
    </row>
    <row r="523" spans="1:14" x14ac:dyDescent="0.25">
      <c r="A523">
        <v>522</v>
      </c>
      <c r="B523">
        <v>36</v>
      </c>
      <c r="C523" t="s">
        <v>14</v>
      </c>
      <c r="D523" t="s">
        <v>32</v>
      </c>
      <c r="E523" t="s">
        <v>16</v>
      </c>
      <c r="F523" t="s">
        <v>17</v>
      </c>
      <c r="G523" s="4">
        <v>28</v>
      </c>
      <c r="H523" t="s">
        <v>47</v>
      </c>
      <c r="I523" s="4">
        <v>1026</v>
      </c>
      <c r="J523" t="s">
        <v>41</v>
      </c>
      <c r="K523" t="s">
        <v>20</v>
      </c>
      <c r="L523" t="s">
        <v>28</v>
      </c>
      <c r="M523" t="s">
        <v>22</v>
      </c>
      <c r="N523">
        <v>4</v>
      </c>
    </row>
    <row r="524" spans="1:14" x14ac:dyDescent="0.25">
      <c r="A524">
        <v>523</v>
      </c>
      <c r="B524">
        <v>40</v>
      </c>
      <c r="C524" t="s">
        <v>14</v>
      </c>
      <c r="D524" t="s">
        <v>36</v>
      </c>
      <c r="E524" t="s">
        <v>24</v>
      </c>
      <c r="F524" t="s">
        <v>42</v>
      </c>
      <c r="G524" s="4">
        <v>15</v>
      </c>
      <c r="H524" t="s">
        <v>43</v>
      </c>
      <c r="I524" s="4">
        <v>1602</v>
      </c>
      <c r="J524" t="s">
        <v>45</v>
      </c>
      <c r="K524" t="s">
        <v>20</v>
      </c>
      <c r="L524" t="s">
        <v>21</v>
      </c>
      <c r="M524" t="s">
        <v>22</v>
      </c>
      <c r="N524">
        <v>5</v>
      </c>
    </row>
    <row r="525" spans="1:14" x14ac:dyDescent="0.25">
      <c r="A525">
        <v>524</v>
      </c>
      <c r="B525">
        <v>18</v>
      </c>
      <c r="C525" t="s">
        <v>14</v>
      </c>
      <c r="D525" t="s">
        <v>36</v>
      </c>
      <c r="E525" t="s">
        <v>24</v>
      </c>
      <c r="F525" t="s">
        <v>30</v>
      </c>
      <c r="G525" s="4">
        <v>17</v>
      </c>
      <c r="H525" t="s">
        <v>34</v>
      </c>
      <c r="I525" s="4">
        <v>2823</v>
      </c>
      <c r="J525" t="s">
        <v>35</v>
      </c>
      <c r="K525" t="s">
        <v>20</v>
      </c>
      <c r="L525" t="s">
        <v>21</v>
      </c>
      <c r="M525" t="s">
        <v>22</v>
      </c>
      <c r="N525">
        <v>4</v>
      </c>
    </row>
    <row r="526" spans="1:14" x14ac:dyDescent="0.25">
      <c r="A526">
        <v>525</v>
      </c>
      <c r="B526">
        <v>29</v>
      </c>
      <c r="C526" t="s">
        <v>29</v>
      </c>
      <c r="D526" t="s">
        <v>32</v>
      </c>
      <c r="E526" t="s">
        <v>24</v>
      </c>
      <c r="F526" t="s">
        <v>25</v>
      </c>
      <c r="G526" s="4">
        <v>22</v>
      </c>
      <c r="H526" t="s">
        <v>37</v>
      </c>
      <c r="I526" s="4">
        <v>1392</v>
      </c>
      <c r="J526" t="s">
        <v>41</v>
      </c>
      <c r="K526" t="s">
        <v>20</v>
      </c>
      <c r="L526" t="s">
        <v>21</v>
      </c>
      <c r="M526" t="s">
        <v>31</v>
      </c>
      <c r="N526">
        <v>1</v>
      </c>
    </row>
    <row r="527" spans="1:14" x14ac:dyDescent="0.25">
      <c r="A527">
        <v>526</v>
      </c>
      <c r="B527">
        <v>40</v>
      </c>
      <c r="C527" t="s">
        <v>29</v>
      </c>
      <c r="D527" t="s">
        <v>15</v>
      </c>
      <c r="E527" t="s">
        <v>24</v>
      </c>
      <c r="F527" t="s">
        <v>42</v>
      </c>
      <c r="G527" s="4">
        <v>17</v>
      </c>
      <c r="H527" t="s">
        <v>40</v>
      </c>
      <c r="I527" s="4">
        <v>437</v>
      </c>
      <c r="J527" t="s">
        <v>44</v>
      </c>
      <c r="K527" t="s">
        <v>48</v>
      </c>
      <c r="L527" t="s">
        <v>21</v>
      </c>
      <c r="M527" t="s">
        <v>22</v>
      </c>
      <c r="N527">
        <v>3</v>
      </c>
    </row>
    <row r="528" spans="1:14" x14ac:dyDescent="0.25">
      <c r="A528">
        <v>527</v>
      </c>
      <c r="B528">
        <v>36</v>
      </c>
      <c r="C528" t="s">
        <v>14</v>
      </c>
      <c r="D528" t="s">
        <v>36</v>
      </c>
      <c r="E528" t="s">
        <v>24</v>
      </c>
      <c r="F528" t="s">
        <v>30</v>
      </c>
      <c r="G528" s="4">
        <v>12</v>
      </c>
      <c r="H528" t="s">
        <v>43</v>
      </c>
      <c r="I528" s="4">
        <v>2003</v>
      </c>
      <c r="J528" t="s">
        <v>49</v>
      </c>
      <c r="K528" t="s">
        <v>48</v>
      </c>
      <c r="L528" t="s">
        <v>21</v>
      </c>
      <c r="M528" t="s">
        <v>31</v>
      </c>
      <c r="N528">
        <v>4</v>
      </c>
    </row>
    <row r="529" spans="1:14" x14ac:dyDescent="0.25">
      <c r="A529">
        <v>528</v>
      </c>
      <c r="B529">
        <v>19</v>
      </c>
      <c r="C529" t="s">
        <v>29</v>
      </c>
      <c r="D529" t="s">
        <v>15</v>
      </c>
      <c r="E529" t="s">
        <v>16</v>
      </c>
      <c r="F529" t="s">
        <v>17</v>
      </c>
      <c r="G529" s="4">
        <v>15</v>
      </c>
      <c r="H529" t="s">
        <v>43</v>
      </c>
      <c r="I529" s="4">
        <v>2953</v>
      </c>
      <c r="J529" t="s">
        <v>44</v>
      </c>
      <c r="K529" t="s">
        <v>38</v>
      </c>
      <c r="L529" t="s">
        <v>21</v>
      </c>
      <c r="M529" t="s">
        <v>22</v>
      </c>
      <c r="N529">
        <v>1</v>
      </c>
    </row>
    <row r="530" spans="1:14" x14ac:dyDescent="0.25">
      <c r="A530">
        <v>529</v>
      </c>
      <c r="B530">
        <v>22</v>
      </c>
      <c r="C530" t="s">
        <v>29</v>
      </c>
      <c r="D530" t="s">
        <v>36</v>
      </c>
      <c r="E530" t="s">
        <v>16</v>
      </c>
      <c r="F530" t="s">
        <v>25</v>
      </c>
      <c r="G530" s="4">
        <v>20</v>
      </c>
      <c r="H530" t="s">
        <v>37</v>
      </c>
      <c r="I530" s="4">
        <v>2678</v>
      </c>
      <c r="J530" t="s">
        <v>41</v>
      </c>
      <c r="K530" t="s">
        <v>38</v>
      </c>
      <c r="L530" t="s">
        <v>21</v>
      </c>
      <c r="M530" t="s">
        <v>31</v>
      </c>
      <c r="N530">
        <v>1</v>
      </c>
    </row>
    <row r="531" spans="1:14" x14ac:dyDescent="0.25">
      <c r="A531">
        <v>530</v>
      </c>
      <c r="B531">
        <v>21</v>
      </c>
      <c r="C531" t="s">
        <v>23</v>
      </c>
      <c r="D531" t="s">
        <v>15</v>
      </c>
      <c r="E531" t="s">
        <v>16</v>
      </c>
      <c r="F531" t="s">
        <v>33</v>
      </c>
      <c r="G531" s="4">
        <v>19</v>
      </c>
      <c r="H531" t="s">
        <v>43</v>
      </c>
      <c r="I531" s="4">
        <v>2503</v>
      </c>
      <c r="J531" t="s">
        <v>27</v>
      </c>
      <c r="K531" t="s">
        <v>48</v>
      </c>
      <c r="L531" t="s">
        <v>21</v>
      </c>
      <c r="M531" t="s">
        <v>31</v>
      </c>
      <c r="N531">
        <v>2</v>
      </c>
    </row>
    <row r="532" spans="1:14" x14ac:dyDescent="0.25">
      <c r="A532">
        <v>531</v>
      </c>
      <c r="B532">
        <v>28</v>
      </c>
      <c r="C532" t="s">
        <v>29</v>
      </c>
      <c r="D532" t="s">
        <v>15</v>
      </c>
      <c r="E532" t="s">
        <v>24</v>
      </c>
      <c r="F532" t="s">
        <v>45</v>
      </c>
      <c r="G532" s="4">
        <v>30</v>
      </c>
      <c r="H532" t="s">
        <v>37</v>
      </c>
      <c r="I532" s="4">
        <v>2778</v>
      </c>
      <c r="J532" t="s">
        <v>50</v>
      </c>
      <c r="K532" t="s">
        <v>38</v>
      </c>
      <c r="L532" t="s">
        <v>21</v>
      </c>
      <c r="M532" t="s">
        <v>22</v>
      </c>
      <c r="N532">
        <v>4</v>
      </c>
    </row>
    <row r="533" spans="1:14" x14ac:dyDescent="0.25">
      <c r="A533">
        <v>532</v>
      </c>
      <c r="B533">
        <v>28</v>
      </c>
      <c r="C533" t="s">
        <v>14</v>
      </c>
      <c r="D533" t="s">
        <v>32</v>
      </c>
      <c r="E533" t="s">
        <v>16</v>
      </c>
      <c r="F533" t="s">
        <v>17</v>
      </c>
      <c r="G533" s="4">
        <v>7</v>
      </c>
      <c r="H533" t="s">
        <v>34</v>
      </c>
      <c r="I533" s="4">
        <v>494</v>
      </c>
      <c r="J533" t="s">
        <v>44</v>
      </c>
      <c r="K533" t="s">
        <v>20</v>
      </c>
      <c r="L533" t="s">
        <v>21</v>
      </c>
      <c r="M533" t="s">
        <v>22</v>
      </c>
      <c r="N533">
        <v>3</v>
      </c>
    </row>
    <row r="534" spans="1:14" x14ac:dyDescent="0.25">
      <c r="A534">
        <v>533</v>
      </c>
      <c r="B534">
        <v>22</v>
      </c>
      <c r="C534" t="s">
        <v>29</v>
      </c>
      <c r="D534" t="s">
        <v>15</v>
      </c>
      <c r="E534" t="s">
        <v>16</v>
      </c>
      <c r="F534" t="s">
        <v>42</v>
      </c>
      <c r="G534" s="4">
        <v>8</v>
      </c>
      <c r="H534" t="s">
        <v>18</v>
      </c>
      <c r="I534" s="4">
        <v>2589</v>
      </c>
      <c r="J534" t="s">
        <v>41</v>
      </c>
      <c r="K534" t="s">
        <v>48</v>
      </c>
      <c r="L534" t="s">
        <v>21</v>
      </c>
      <c r="M534" t="s">
        <v>22</v>
      </c>
      <c r="N534">
        <v>5</v>
      </c>
    </row>
    <row r="535" spans="1:14" x14ac:dyDescent="0.25">
      <c r="A535">
        <v>534</v>
      </c>
      <c r="B535">
        <v>40</v>
      </c>
      <c r="C535" t="s">
        <v>29</v>
      </c>
      <c r="D535" t="s">
        <v>36</v>
      </c>
      <c r="E535" t="s">
        <v>39</v>
      </c>
      <c r="F535" t="s">
        <v>17</v>
      </c>
      <c r="G535" s="4">
        <v>25</v>
      </c>
      <c r="H535" t="s">
        <v>37</v>
      </c>
      <c r="I535" s="4">
        <v>2431</v>
      </c>
      <c r="J535" t="s">
        <v>27</v>
      </c>
      <c r="K535" t="s">
        <v>38</v>
      </c>
      <c r="L535" t="s">
        <v>28</v>
      </c>
      <c r="M535" t="s">
        <v>31</v>
      </c>
      <c r="N535">
        <v>3</v>
      </c>
    </row>
    <row r="536" spans="1:14" x14ac:dyDescent="0.25">
      <c r="A536">
        <v>535</v>
      </c>
      <c r="B536">
        <v>31</v>
      </c>
      <c r="C536" t="s">
        <v>23</v>
      </c>
      <c r="D536" t="s">
        <v>15</v>
      </c>
      <c r="E536" t="s">
        <v>24</v>
      </c>
      <c r="F536" t="s">
        <v>25</v>
      </c>
      <c r="G536" s="4">
        <v>12</v>
      </c>
      <c r="H536" t="s">
        <v>43</v>
      </c>
      <c r="I536" s="4">
        <v>714</v>
      </c>
      <c r="J536" t="s">
        <v>19</v>
      </c>
      <c r="K536" t="s">
        <v>34</v>
      </c>
      <c r="L536" t="s">
        <v>28</v>
      </c>
      <c r="M536" t="s">
        <v>31</v>
      </c>
      <c r="N536">
        <v>5</v>
      </c>
    </row>
    <row r="537" spans="1:14" x14ac:dyDescent="0.25">
      <c r="A537">
        <v>536</v>
      </c>
      <c r="B537">
        <v>18</v>
      </c>
      <c r="C537" t="s">
        <v>14</v>
      </c>
      <c r="D537" t="s">
        <v>36</v>
      </c>
      <c r="E537" t="s">
        <v>16</v>
      </c>
      <c r="F537" t="s">
        <v>45</v>
      </c>
      <c r="G537" s="4">
        <v>22</v>
      </c>
      <c r="H537" t="s">
        <v>34</v>
      </c>
      <c r="I537" s="4">
        <v>965</v>
      </c>
      <c r="J537" t="s">
        <v>27</v>
      </c>
      <c r="K537" t="s">
        <v>20</v>
      </c>
      <c r="L537" t="s">
        <v>21</v>
      </c>
      <c r="M537" t="s">
        <v>31</v>
      </c>
      <c r="N537">
        <v>2</v>
      </c>
    </row>
    <row r="538" spans="1:14" x14ac:dyDescent="0.25">
      <c r="A538">
        <v>537</v>
      </c>
      <c r="B538">
        <v>19</v>
      </c>
      <c r="C538" t="s">
        <v>23</v>
      </c>
      <c r="D538" t="s">
        <v>32</v>
      </c>
      <c r="E538" t="s">
        <v>39</v>
      </c>
      <c r="F538" t="s">
        <v>25</v>
      </c>
      <c r="G538" s="4">
        <v>11</v>
      </c>
      <c r="H538" t="s">
        <v>37</v>
      </c>
      <c r="I538" s="4">
        <v>461</v>
      </c>
      <c r="J538" t="s">
        <v>41</v>
      </c>
      <c r="K538" t="s">
        <v>48</v>
      </c>
      <c r="L538" t="s">
        <v>28</v>
      </c>
      <c r="M538" t="s">
        <v>31</v>
      </c>
      <c r="N538">
        <v>2</v>
      </c>
    </row>
    <row r="539" spans="1:14" x14ac:dyDescent="0.25">
      <c r="A539">
        <v>538</v>
      </c>
      <c r="B539">
        <v>24</v>
      </c>
      <c r="C539" t="s">
        <v>23</v>
      </c>
      <c r="D539" t="s">
        <v>32</v>
      </c>
      <c r="E539" t="s">
        <v>16</v>
      </c>
      <c r="F539" t="s">
        <v>33</v>
      </c>
      <c r="G539" s="4">
        <v>18</v>
      </c>
      <c r="H539" t="s">
        <v>47</v>
      </c>
      <c r="I539" s="4">
        <v>1029</v>
      </c>
      <c r="J539" t="s">
        <v>44</v>
      </c>
      <c r="K539" t="s">
        <v>38</v>
      </c>
      <c r="L539" t="s">
        <v>21</v>
      </c>
      <c r="M539" t="s">
        <v>31</v>
      </c>
      <c r="N539">
        <v>3</v>
      </c>
    </row>
    <row r="540" spans="1:14" x14ac:dyDescent="0.25">
      <c r="A540">
        <v>539</v>
      </c>
      <c r="B540">
        <v>34</v>
      </c>
      <c r="C540" t="s">
        <v>23</v>
      </c>
      <c r="D540" t="s">
        <v>32</v>
      </c>
      <c r="E540" t="s">
        <v>24</v>
      </c>
      <c r="F540" t="s">
        <v>45</v>
      </c>
      <c r="G540" s="4">
        <v>8</v>
      </c>
      <c r="H540" t="s">
        <v>34</v>
      </c>
      <c r="I540" s="4">
        <v>290</v>
      </c>
      <c r="J540" t="s">
        <v>45</v>
      </c>
      <c r="K540" t="s">
        <v>38</v>
      </c>
      <c r="L540" t="s">
        <v>28</v>
      </c>
      <c r="M540" t="s">
        <v>22</v>
      </c>
      <c r="N540">
        <v>2</v>
      </c>
    </row>
    <row r="541" spans="1:14" x14ac:dyDescent="0.25">
      <c r="A541">
        <v>540</v>
      </c>
      <c r="B541">
        <v>21</v>
      </c>
      <c r="C541" t="s">
        <v>14</v>
      </c>
      <c r="D541" t="s">
        <v>36</v>
      </c>
      <c r="E541" t="s">
        <v>39</v>
      </c>
      <c r="F541" t="s">
        <v>25</v>
      </c>
      <c r="G541" s="4">
        <v>15</v>
      </c>
      <c r="H541" t="s">
        <v>26</v>
      </c>
      <c r="I541" s="4">
        <v>932</v>
      </c>
      <c r="J541" t="s">
        <v>27</v>
      </c>
      <c r="K541" t="s">
        <v>48</v>
      </c>
      <c r="L541" t="s">
        <v>28</v>
      </c>
      <c r="M541" t="s">
        <v>31</v>
      </c>
      <c r="N541">
        <v>1</v>
      </c>
    </row>
    <row r="542" spans="1:14" x14ac:dyDescent="0.25">
      <c r="A542">
        <v>541</v>
      </c>
      <c r="B542">
        <v>19</v>
      </c>
      <c r="C542" t="s">
        <v>23</v>
      </c>
      <c r="D542" t="s">
        <v>32</v>
      </c>
      <c r="E542" t="s">
        <v>16</v>
      </c>
      <c r="F542" t="s">
        <v>42</v>
      </c>
      <c r="G542" s="4">
        <v>18</v>
      </c>
      <c r="H542" t="s">
        <v>34</v>
      </c>
      <c r="I542" s="4">
        <v>593</v>
      </c>
      <c r="J542" t="s">
        <v>44</v>
      </c>
      <c r="K542" t="s">
        <v>20</v>
      </c>
      <c r="L542" t="s">
        <v>21</v>
      </c>
      <c r="M542" t="s">
        <v>31</v>
      </c>
      <c r="N542">
        <v>2</v>
      </c>
    </row>
    <row r="543" spans="1:14" x14ac:dyDescent="0.25">
      <c r="A543">
        <v>542</v>
      </c>
      <c r="B543">
        <v>26</v>
      </c>
      <c r="C543" t="s">
        <v>14</v>
      </c>
      <c r="D543" t="s">
        <v>36</v>
      </c>
      <c r="E543" t="s">
        <v>24</v>
      </c>
      <c r="F543" t="s">
        <v>33</v>
      </c>
      <c r="G543" s="4">
        <v>11</v>
      </c>
      <c r="H543" t="s">
        <v>46</v>
      </c>
      <c r="I543" s="4">
        <v>1375</v>
      </c>
      <c r="J543" t="s">
        <v>44</v>
      </c>
      <c r="K543" t="s">
        <v>48</v>
      </c>
      <c r="L543" t="s">
        <v>28</v>
      </c>
      <c r="M543" t="s">
        <v>31</v>
      </c>
      <c r="N543">
        <v>2</v>
      </c>
    </row>
    <row r="544" spans="1:14" x14ac:dyDescent="0.25">
      <c r="A544">
        <v>543</v>
      </c>
      <c r="B544">
        <v>31</v>
      </c>
      <c r="C544" t="s">
        <v>29</v>
      </c>
      <c r="D544" t="s">
        <v>36</v>
      </c>
      <c r="E544" t="s">
        <v>16</v>
      </c>
      <c r="F544" t="s">
        <v>17</v>
      </c>
      <c r="G544" s="4">
        <v>10</v>
      </c>
      <c r="H544" t="s">
        <v>37</v>
      </c>
      <c r="I544" s="4">
        <v>1407</v>
      </c>
      <c r="J544" t="s">
        <v>27</v>
      </c>
      <c r="K544" t="s">
        <v>48</v>
      </c>
      <c r="L544" t="s">
        <v>28</v>
      </c>
      <c r="M544" t="s">
        <v>31</v>
      </c>
      <c r="N544">
        <v>2</v>
      </c>
    </row>
    <row r="545" spans="1:14" x14ac:dyDescent="0.25">
      <c r="A545">
        <v>544</v>
      </c>
      <c r="B545">
        <v>24</v>
      </c>
      <c r="C545" t="s">
        <v>29</v>
      </c>
      <c r="D545" t="s">
        <v>15</v>
      </c>
      <c r="E545" t="s">
        <v>24</v>
      </c>
      <c r="F545" t="s">
        <v>42</v>
      </c>
      <c r="G545" s="4">
        <v>23</v>
      </c>
      <c r="H545" t="s">
        <v>40</v>
      </c>
      <c r="I545" s="4">
        <v>1939</v>
      </c>
      <c r="J545" t="s">
        <v>27</v>
      </c>
      <c r="K545" t="s">
        <v>34</v>
      </c>
      <c r="L545" t="s">
        <v>28</v>
      </c>
      <c r="M545" t="s">
        <v>22</v>
      </c>
      <c r="N545">
        <v>4</v>
      </c>
    </row>
    <row r="546" spans="1:14" x14ac:dyDescent="0.25">
      <c r="A546">
        <v>545</v>
      </c>
      <c r="B546">
        <v>36</v>
      </c>
      <c r="C546" t="s">
        <v>29</v>
      </c>
      <c r="D546" t="s">
        <v>15</v>
      </c>
      <c r="E546" t="s">
        <v>16</v>
      </c>
      <c r="F546" t="s">
        <v>42</v>
      </c>
      <c r="G546" s="4">
        <v>9</v>
      </c>
      <c r="H546" t="s">
        <v>47</v>
      </c>
      <c r="I546" s="4">
        <v>2349</v>
      </c>
      <c r="J546" t="s">
        <v>45</v>
      </c>
      <c r="K546" t="s">
        <v>20</v>
      </c>
      <c r="L546" t="s">
        <v>28</v>
      </c>
      <c r="M546" t="s">
        <v>22</v>
      </c>
      <c r="N546">
        <v>1</v>
      </c>
    </row>
    <row r="547" spans="1:14" x14ac:dyDescent="0.25">
      <c r="A547">
        <v>546</v>
      </c>
      <c r="B547">
        <v>32</v>
      </c>
      <c r="C547" t="s">
        <v>23</v>
      </c>
      <c r="D547" t="s">
        <v>15</v>
      </c>
      <c r="E547" t="s">
        <v>24</v>
      </c>
      <c r="F547" t="s">
        <v>17</v>
      </c>
      <c r="G547" s="4">
        <v>20</v>
      </c>
      <c r="H547" t="s">
        <v>26</v>
      </c>
      <c r="I547" s="4">
        <v>985</v>
      </c>
      <c r="J547" t="s">
        <v>27</v>
      </c>
      <c r="K547" t="s">
        <v>38</v>
      </c>
      <c r="L547" t="s">
        <v>28</v>
      </c>
      <c r="M547" t="s">
        <v>31</v>
      </c>
      <c r="N547">
        <v>1</v>
      </c>
    </row>
    <row r="548" spans="1:14" x14ac:dyDescent="0.25">
      <c r="A548">
        <v>547</v>
      </c>
      <c r="B548">
        <v>25</v>
      </c>
      <c r="C548" t="s">
        <v>29</v>
      </c>
      <c r="D548" t="s">
        <v>36</v>
      </c>
      <c r="E548" t="s">
        <v>39</v>
      </c>
      <c r="F548" t="s">
        <v>25</v>
      </c>
      <c r="G548" s="4">
        <v>25</v>
      </c>
      <c r="H548" t="s">
        <v>43</v>
      </c>
      <c r="I548" s="4">
        <v>371</v>
      </c>
      <c r="J548" t="s">
        <v>41</v>
      </c>
      <c r="K548" t="s">
        <v>20</v>
      </c>
      <c r="L548" t="s">
        <v>28</v>
      </c>
      <c r="M548" t="s">
        <v>22</v>
      </c>
      <c r="N548">
        <v>1</v>
      </c>
    </row>
    <row r="549" spans="1:14" x14ac:dyDescent="0.25">
      <c r="A549">
        <v>548</v>
      </c>
      <c r="B549">
        <v>40</v>
      </c>
      <c r="C549" t="s">
        <v>23</v>
      </c>
      <c r="D549" t="s">
        <v>32</v>
      </c>
      <c r="E549" t="s">
        <v>24</v>
      </c>
      <c r="F549" t="s">
        <v>17</v>
      </c>
      <c r="G549" s="4">
        <v>17</v>
      </c>
      <c r="H549" t="s">
        <v>47</v>
      </c>
      <c r="I549" s="4">
        <v>757</v>
      </c>
      <c r="J549" t="s">
        <v>19</v>
      </c>
      <c r="K549" t="s">
        <v>20</v>
      </c>
      <c r="L549" t="s">
        <v>28</v>
      </c>
      <c r="M549" t="s">
        <v>22</v>
      </c>
      <c r="N549">
        <v>3</v>
      </c>
    </row>
    <row r="550" spans="1:14" x14ac:dyDescent="0.25">
      <c r="A550">
        <v>549</v>
      </c>
      <c r="B550">
        <v>27</v>
      </c>
      <c r="C550" t="s">
        <v>23</v>
      </c>
      <c r="D550" t="s">
        <v>36</v>
      </c>
      <c r="E550" t="s">
        <v>16</v>
      </c>
      <c r="F550" t="s">
        <v>17</v>
      </c>
      <c r="G550" s="4">
        <v>18</v>
      </c>
      <c r="H550" t="s">
        <v>18</v>
      </c>
      <c r="I550" s="4">
        <v>1105</v>
      </c>
      <c r="J550" t="s">
        <v>50</v>
      </c>
      <c r="K550" t="s">
        <v>48</v>
      </c>
      <c r="L550" t="s">
        <v>28</v>
      </c>
      <c r="M550" t="s">
        <v>22</v>
      </c>
      <c r="N550">
        <v>5</v>
      </c>
    </row>
    <row r="551" spans="1:14" x14ac:dyDescent="0.25">
      <c r="A551">
        <v>550</v>
      </c>
      <c r="B551">
        <v>21</v>
      </c>
      <c r="C551" t="s">
        <v>23</v>
      </c>
      <c r="D551" t="s">
        <v>15</v>
      </c>
      <c r="E551" t="s">
        <v>39</v>
      </c>
      <c r="F551" t="s">
        <v>30</v>
      </c>
      <c r="G551" s="4">
        <v>17</v>
      </c>
      <c r="H551" t="s">
        <v>37</v>
      </c>
      <c r="I551" s="4">
        <v>1497</v>
      </c>
      <c r="J551" t="s">
        <v>19</v>
      </c>
      <c r="K551" t="s">
        <v>38</v>
      </c>
      <c r="L551" t="s">
        <v>21</v>
      </c>
      <c r="M551" t="s">
        <v>31</v>
      </c>
      <c r="N551">
        <v>4</v>
      </c>
    </row>
    <row r="552" spans="1:14" x14ac:dyDescent="0.25">
      <c r="A552">
        <v>551</v>
      </c>
      <c r="B552">
        <v>25</v>
      </c>
      <c r="C552" t="s">
        <v>23</v>
      </c>
      <c r="D552" t="s">
        <v>36</v>
      </c>
      <c r="E552" t="s">
        <v>24</v>
      </c>
      <c r="F552" t="s">
        <v>25</v>
      </c>
      <c r="G552" s="4">
        <v>22</v>
      </c>
      <c r="H552" t="s">
        <v>40</v>
      </c>
      <c r="I552" s="4">
        <v>465</v>
      </c>
      <c r="J552" t="s">
        <v>50</v>
      </c>
      <c r="K552" t="s">
        <v>34</v>
      </c>
      <c r="L552" t="s">
        <v>28</v>
      </c>
      <c r="M552" t="s">
        <v>31</v>
      </c>
      <c r="N552">
        <v>4</v>
      </c>
    </row>
    <row r="553" spans="1:14" x14ac:dyDescent="0.25">
      <c r="A553">
        <v>552</v>
      </c>
      <c r="B553">
        <v>26</v>
      </c>
      <c r="C553" t="s">
        <v>29</v>
      </c>
      <c r="D553" t="s">
        <v>32</v>
      </c>
      <c r="E553" t="s">
        <v>39</v>
      </c>
      <c r="F553" t="s">
        <v>45</v>
      </c>
      <c r="G553" s="4">
        <v>6</v>
      </c>
      <c r="H553" t="s">
        <v>18</v>
      </c>
      <c r="I553" s="4">
        <v>259</v>
      </c>
      <c r="J553" t="s">
        <v>49</v>
      </c>
      <c r="K553" t="s">
        <v>34</v>
      </c>
      <c r="L553" t="s">
        <v>28</v>
      </c>
      <c r="M553" t="s">
        <v>31</v>
      </c>
      <c r="N553">
        <v>3</v>
      </c>
    </row>
    <row r="554" spans="1:14" x14ac:dyDescent="0.25">
      <c r="A554">
        <v>553</v>
      </c>
      <c r="B554">
        <v>39</v>
      </c>
      <c r="C554" t="s">
        <v>29</v>
      </c>
      <c r="D554" t="s">
        <v>15</v>
      </c>
      <c r="E554" t="s">
        <v>16</v>
      </c>
      <c r="F554" t="s">
        <v>42</v>
      </c>
      <c r="G554" s="4">
        <v>27</v>
      </c>
      <c r="H554" t="s">
        <v>37</v>
      </c>
      <c r="I554" s="4">
        <v>268</v>
      </c>
      <c r="J554" t="s">
        <v>35</v>
      </c>
      <c r="K554" t="s">
        <v>48</v>
      </c>
      <c r="L554" t="s">
        <v>21</v>
      </c>
      <c r="M554" t="s">
        <v>22</v>
      </c>
      <c r="N554">
        <v>2</v>
      </c>
    </row>
    <row r="555" spans="1:14" x14ac:dyDescent="0.25">
      <c r="A555">
        <v>554</v>
      </c>
      <c r="B555">
        <v>26</v>
      </c>
      <c r="C555" t="s">
        <v>29</v>
      </c>
      <c r="D555" t="s">
        <v>15</v>
      </c>
      <c r="E555" t="s">
        <v>16</v>
      </c>
      <c r="F555" t="s">
        <v>45</v>
      </c>
      <c r="G555" s="4">
        <v>8</v>
      </c>
      <c r="H555" t="s">
        <v>47</v>
      </c>
      <c r="I555" s="4">
        <v>2855</v>
      </c>
      <c r="J555" t="s">
        <v>35</v>
      </c>
      <c r="K555" t="s">
        <v>20</v>
      </c>
      <c r="L555" t="s">
        <v>21</v>
      </c>
      <c r="M555" t="s">
        <v>31</v>
      </c>
      <c r="N555">
        <v>2</v>
      </c>
    </row>
    <row r="556" spans="1:14" x14ac:dyDescent="0.25">
      <c r="A556">
        <v>555</v>
      </c>
      <c r="B556">
        <v>29</v>
      </c>
      <c r="C556" t="s">
        <v>29</v>
      </c>
      <c r="D556" t="s">
        <v>15</v>
      </c>
      <c r="E556" t="s">
        <v>16</v>
      </c>
      <c r="F556" t="s">
        <v>33</v>
      </c>
      <c r="G556" s="4">
        <v>18</v>
      </c>
      <c r="H556" t="s">
        <v>40</v>
      </c>
      <c r="I556" s="4">
        <v>1818</v>
      </c>
      <c r="J556" t="s">
        <v>50</v>
      </c>
      <c r="K556" t="s">
        <v>20</v>
      </c>
      <c r="L556" t="s">
        <v>28</v>
      </c>
      <c r="M556" t="s">
        <v>31</v>
      </c>
      <c r="N556">
        <v>1</v>
      </c>
    </row>
    <row r="557" spans="1:14" x14ac:dyDescent="0.25">
      <c r="A557">
        <v>556</v>
      </c>
      <c r="B557">
        <v>33</v>
      </c>
      <c r="C557" t="s">
        <v>23</v>
      </c>
      <c r="D557" t="s">
        <v>32</v>
      </c>
      <c r="E557" t="s">
        <v>39</v>
      </c>
      <c r="F557" t="s">
        <v>30</v>
      </c>
      <c r="G557" s="4">
        <v>23</v>
      </c>
      <c r="H557" t="s">
        <v>37</v>
      </c>
      <c r="I557" s="4">
        <v>2727</v>
      </c>
      <c r="J557" t="s">
        <v>35</v>
      </c>
      <c r="K557" t="s">
        <v>38</v>
      </c>
      <c r="L557" t="s">
        <v>28</v>
      </c>
      <c r="M557" t="s">
        <v>22</v>
      </c>
      <c r="N557">
        <v>5</v>
      </c>
    </row>
    <row r="558" spans="1:14" x14ac:dyDescent="0.25">
      <c r="A558">
        <v>557</v>
      </c>
      <c r="B558">
        <v>33</v>
      </c>
      <c r="C558" t="s">
        <v>14</v>
      </c>
      <c r="D558" t="s">
        <v>32</v>
      </c>
      <c r="E558" t="s">
        <v>39</v>
      </c>
      <c r="F558" t="s">
        <v>42</v>
      </c>
      <c r="G558" s="4">
        <v>16</v>
      </c>
      <c r="H558" t="s">
        <v>37</v>
      </c>
      <c r="I558" s="4">
        <v>1180</v>
      </c>
      <c r="J558" t="s">
        <v>44</v>
      </c>
      <c r="K558" t="s">
        <v>34</v>
      </c>
      <c r="L558" t="s">
        <v>21</v>
      </c>
      <c r="M558" t="s">
        <v>22</v>
      </c>
      <c r="N558">
        <v>1</v>
      </c>
    </row>
    <row r="559" spans="1:14" x14ac:dyDescent="0.25">
      <c r="A559">
        <v>558</v>
      </c>
      <c r="B559">
        <v>40</v>
      </c>
      <c r="C559" t="s">
        <v>14</v>
      </c>
      <c r="D559" t="s">
        <v>15</v>
      </c>
      <c r="E559" t="s">
        <v>16</v>
      </c>
      <c r="F559" t="s">
        <v>33</v>
      </c>
      <c r="G559" s="4">
        <v>27</v>
      </c>
      <c r="H559" t="s">
        <v>34</v>
      </c>
      <c r="I559" s="4">
        <v>2729</v>
      </c>
      <c r="J559" t="s">
        <v>44</v>
      </c>
      <c r="K559" t="s">
        <v>20</v>
      </c>
      <c r="L559" t="s">
        <v>28</v>
      </c>
      <c r="M559" t="s">
        <v>31</v>
      </c>
      <c r="N559">
        <v>2</v>
      </c>
    </row>
    <row r="560" spans="1:14" x14ac:dyDescent="0.25">
      <c r="A560">
        <v>559</v>
      </c>
      <c r="B560">
        <v>23</v>
      </c>
      <c r="C560" t="s">
        <v>23</v>
      </c>
      <c r="D560" t="s">
        <v>32</v>
      </c>
      <c r="E560" t="s">
        <v>39</v>
      </c>
      <c r="F560" t="s">
        <v>25</v>
      </c>
      <c r="G560" s="4">
        <v>11</v>
      </c>
      <c r="H560" t="s">
        <v>34</v>
      </c>
      <c r="I560" s="4">
        <v>2303</v>
      </c>
      <c r="J560" t="s">
        <v>49</v>
      </c>
      <c r="K560" t="s">
        <v>38</v>
      </c>
      <c r="L560" t="s">
        <v>28</v>
      </c>
      <c r="M560" t="s">
        <v>22</v>
      </c>
      <c r="N560">
        <v>1</v>
      </c>
    </row>
    <row r="561" spans="1:14" x14ac:dyDescent="0.25">
      <c r="A561">
        <v>560</v>
      </c>
      <c r="B561">
        <v>18</v>
      </c>
      <c r="C561" t="s">
        <v>29</v>
      </c>
      <c r="D561" t="s">
        <v>32</v>
      </c>
      <c r="E561" t="s">
        <v>16</v>
      </c>
      <c r="F561" t="s">
        <v>33</v>
      </c>
      <c r="G561" s="4">
        <v>17</v>
      </c>
      <c r="H561" t="s">
        <v>34</v>
      </c>
      <c r="I561" s="4">
        <v>2045</v>
      </c>
      <c r="J561" t="s">
        <v>35</v>
      </c>
      <c r="K561" t="s">
        <v>20</v>
      </c>
      <c r="L561" t="s">
        <v>28</v>
      </c>
      <c r="M561" t="s">
        <v>22</v>
      </c>
      <c r="N561">
        <v>2</v>
      </c>
    </row>
    <row r="562" spans="1:14" x14ac:dyDescent="0.25">
      <c r="A562">
        <v>561</v>
      </c>
      <c r="B562">
        <v>36</v>
      </c>
      <c r="C562" t="s">
        <v>23</v>
      </c>
      <c r="D562" t="s">
        <v>15</v>
      </c>
      <c r="E562" t="s">
        <v>24</v>
      </c>
      <c r="F562" t="s">
        <v>42</v>
      </c>
      <c r="G562" s="4">
        <v>28</v>
      </c>
      <c r="H562" t="s">
        <v>47</v>
      </c>
      <c r="I562" s="4">
        <v>1810</v>
      </c>
      <c r="J562" t="s">
        <v>44</v>
      </c>
      <c r="K562" t="s">
        <v>48</v>
      </c>
      <c r="L562" t="s">
        <v>28</v>
      </c>
      <c r="M562" t="s">
        <v>22</v>
      </c>
      <c r="N562">
        <v>3</v>
      </c>
    </row>
    <row r="563" spans="1:14" x14ac:dyDescent="0.25">
      <c r="A563">
        <v>562</v>
      </c>
      <c r="B563">
        <v>30</v>
      </c>
      <c r="C563" t="s">
        <v>29</v>
      </c>
      <c r="D563" t="s">
        <v>15</v>
      </c>
      <c r="E563" t="s">
        <v>39</v>
      </c>
      <c r="F563" t="s">
        <v>33</v>
      </c>
      <c r="G563" s="4">
        <v>24</v>
      </c>
      <c r="H563" t="s">
        <v>40</v>
      </c>
      <c r="I563" s="4">
        <v>902</v>
      </c>
      <c r="J563" t="s">
        <v>27</v>
      </c>
      <c r="K563" t="s">
        <v>34</v>
      </c>
      <c r="L563" t="s">
        <v>21</v>
      </c>
      <c r="M563" t="s">
        <v>22</v>
      </c>
      <c r="N563">
        <v>4</v>
      </c>
    </row>
    <row r="564" spans="1:14" x14ac:dyDescent="0.25">
      <c r="A564">
        <v>563</v>
      </c>
      <c r="B564">
        <v>20</v>
      </c>
      <c r="C564" t="s">
        <v>23</v>
      </c>
      <c r="D564" t="s">
        <v>32</v>
      </c>
      <c r="E564" t="s">
        <v>16</v>
      </c>
      <c r="F564" t="s">
        <v>42</v>
      </c>
      <c r="G564" s="4">
        <v>22</v>
      </c>
      <c r="H564" t="s">
        <v>34</v>
      </c>
      <c r="I564" s="4">
        <v>1824</v>
      </c>
      <c r="J564" t="s">
        <v>41</v>
      </c>
      <c r="K564" t="s">
        <v>34</v>
      </c>
      <c r="L564" t="s">
        <v>28</v>
      </c>
      <c r="M564" t="s">
        <v>22</v>
      </c>
      <c r="N564">
        <v>1</v>
      </c>
    </row>
    <row r="565" spans="1:14" x14ac:dyDescent="0.25">
      <c r="A565">
        <v>564</v>
      </c>
      <c r="B565">
        <v>40</v>
      </c>
      <c r="C565" t="s">
        <v>29</v>
      </c>
      <c r="D565" t="s">
        <v>15</v>
      </c>
      <c r="E565" t="s">
        <v>39</v>
      </c>
      <c r="F565" t="s">
        <v>30</v>
      </c>
      <c r="G565" s="4">
        <v>18</v>
      </c>
      <c r="H565" t="s">
        <v>34</v>
      </c>
      <c r="I565" s="4">
        <v>1514</v>
      </c>
      <c r="J565" t="s">
        <v>35</v>
      </c>
      <c r="K565" t="s">
        <v>20</v>
      </c>
      <c r="L565" t="s">
        <v>21</v>
      </c>
      <c r="M565" t="s">
        <v>22</v>
      </c>
      <c r="N565">
        <v>4</v>
      </c>
    </row>
    <row r="566" spans="1:14" x14ac:dyDescent="0.25">
      <c r="A566">
        <v>565</v>
      </c>
      <c r="B566">
        <v>32</v>
      </c>
      <c r="C566" t="s">
        <v>29</v>
      </c>
      <c r="D566" t="s">
        <v>15</v>
      </c>
      <c r="E566" t="s">
        <v>24</v>
      </c>
      <c r="F566" t="s">
        <v>42</v>
      </c>
      <c r="G566" s="4">
        <v>28</v>
      </c>
      <c r="H566" t="s">
        <v>26</v>
      </c>
      <c r="I566" s="4">
        <v>1702</v>
      </c>
      <c r="J566" t="s">
        <v>44</v>
      </c>
      <c r="K566" t="s">
        <v>48</v>
      </c>
      <c r="L566" t="s">
        <v>21</v>
      </c>
      <c r="M566" t="s">
        <v>22</v>
      </c>
      <c r="N566">
        <v>4</v>
      </c>
    </row>
    <row r="567" spans="1:14" x14ac:dyDescent="0.25">
      <c r="A567">
        <v>566</v>
      </c>
      <c r="B567">
        <v>27</v>
      </c>
      <c r="C567" t="s">
        <v>14</v>
      </c>
      <c r="D567" t="s">
        <v>36</v>
      </c>
      <c r="E567" t="s">
        <v>39</v>
      </c>
      <c r="F567" t="s">
        <v>33</v>
      </c>
      <c r="G567" s="4">
        <v>20</v>
      </c>
      <c r="H567" t="s">
        <v>47</v>
      </c>
      <c r="I567" s="4">
        <v>2151</v>
      </c>
      <c r="J567" t="s">
        <v>45</v>
      </c>
      <c r="K567" t="s">
        <v>34</v>
      </c>
      <c r="L567" t="s">
        <v>28</v>
      </c>
      <c r="M567" t="s">
        <v>22</v>
      </c>
      <c r="N567">
        <v>3</v>
      </c>
    </row>
    <row r="568" spans="1:14" x14ac:dyDescent="0.25">
      <c r="A568">
        <v>567</v>
      </c>
      <c r="B568">
        <v>35</v>
      </c>
      <c r="C568" t="s">
        <v>14</v>
      </c>
      <c r="D568" t="s">
        <v>15</v>
      </c>
      <c r="E568" t="s">
        <v>16</v>
      </c>
      <c r="F568" t="s">
        <v>42</v>
      </c>
      <c r="G568" s="4">
        <v>19</v>
      </c>
      <c r="H568" t="s">
        <v>46</v>
      </c>
      <c r="I568" s="4">
        <v>2909</v>
      </c>
      <c r="J568" t="s">
        <v>49</v>
      </c>
      <c r="K568" t="s">
        <v>48</v>
      </c>
      <c r="L568" t="s">
        <v>28</v>
      </c>
      <c r="M568" t="s">
        <v>31</v>
      </c>
      <c r="N568">
        <v>5</v>
      </c>
    </row>
    <row r="569" spans="1:14" x14ac:dyDescent="0.25">
      <c r="A569">
        <v>568</v>
      </c>
      <c r="B569">
        <v>33</v>
      </c>
      <c r="C569" t="s">
        <v>14</v>
      </c>
      <c r="D569" t="s">
        <v>15</v>
      </c>
      <c r="E569" t="s">
        <v>16</v>
      </c>
      <c r="F569" t="s">
        <v>30</v>
      </c>
      <c r="G569" s="4">
        <v>22</v>
      </c>
      <c r="H569" t="s">
        <v>46</v>
      </c>
      <c r="I569" s="4">
        <v>1898</v>
      </c>
      <c r="J569" t="s">
        <v>49</v>
      </c>
      <c r="K569" t="s">
        <v>48</v>
      </c>
      <c r="L569" t="s">
        <v>28</v>
      </c>
      <c r="M569" t="s">
        <v>31</v>
      </c>
      <c r="N569">
        <v>2</v>
      </c>
    </row>
    <row r="570" spans="1:14" x14ac:dyDescent="0.25">
      <c r="A570">
        <v>569</v>
      </c>
      <c r="B570">
        <v>23</v>
      </c>
      <c r="C570" t="s">
        <v>14</v>
      </c>
      <c r="D570" t="s">
        <v>15</v>
      </c>
      <c r="E570" t="s">
        <v>39</v>
      </c>
      <c r="F570" t="s">
        <v>42</v>
      </c>
      <c r="G570" s="4">
        <v>20</v>
      </c>
      <c r="H570" t="s">
        <v>18</v>
      </c>
      <c r="I570" s="4">
        <v>2817</v>
      </c>
      <c r="J570" t="s">
        <v>50</v>
      </c>
      <c r="K570" t="s">
        <v>20</v>
      </c>
      <c r="L570" t="s">
        <v>28</v>
      </c>
      <c r="M570" t="s">
        <v>31</v>
      </c>
      <c r="N570">
        <v>2</v>
      </c>
    </row>
    <row r="571" spans="1:14" x14ac:dyDescent="0.25">
      <c r="A571">
        <v>570</v>
      </c>
      <c r="B571">
        <v>38</v>
      </c>
      <c r="C571" t="s">
        <v>29</v>
      </c>
      <c r="D571" t="s">
        <v>36</v>
      </c>
      <c r="E571" t="s">
        <v>24</v>
      </c>
      <c r="F571" t="s">
        <v>45</v>
      </c>
      <c r="G571" s="4">
        <v>26</v>
      </c>
      <c r="H571" t="s">
        <v>47</v>
      </c>
      <c r="I571" s="4">
        <v>1949</v>
      </c>
      <c r="J571" t="s">
        <v>35</v>
      </c>
      <c r="K571" t="s">
        <v>38</v>
      </c>
      <c r="L571" t="s">
        <v>21</v>
      </c>
      <c r="M571" t="s">
        <v>22</v>
      </c>
      <c r="N571">
        <v>1</v>
      </c>
    </row>
    <row r="572" spans="1:14" x14ac:dyDescent="0.25">
      <c r="A572">
        <v>571</v>
      </c>
      <c r="B572">
        <v>28</v>
      </c>
      <c r="C572" t="s">
        <v>29</v>
      </c>
      <c r="D572" t="s">
        <v>15</v>
      </c>
      <c r="E572" t="s">
        <v>16</v>
      </c>
      <c r="F572" t="s">
        <v>30</v>
      </c>
      <c r="G572" s="4">
        <v>19</v>
      </c>
      <c r="H572" t="s">
        <v>34</v>
      </c>
      <c r="I572" s="4">
        <v>2839</v>
      </c>
      <c r="J572" t="s">
        <v>45</v>
      </c>
      <c r="K572" t="s">
        <v>34</v>
      </c>
      <c r="L572" t="s">
        <v>21</v>
      </c>
      <c r="M572" t="s">
        <v>31</v>
      </c>
      <c r="N572">
        <v>2</v>
      </c>
    </row>
    <row r="573" spans="1:14" x14ac:dyDescent="0.25">
      <c r="A573">
        <v>572</v>
      </c>
      <c r="B573">
        <v>27</v>
      </c>
      <c r="C573" t="s">
        <v>23</v>
      </c>
      <c r="D573" t="s">
        <v>15</v>
      </c>
      <c r="E573" t="s">
        <v>24</v>
      </c>
      <c r="F573" t="s">
        <v>25</v>
      </c>
      <c r="G573" s="4">
        <v>21</v>
      </c>
      <c r="H573" t="s">
        <v>18</v>
      </c>
      <c r="I573" s="4">
        <v>2617</v>
      </c>
      <c r="J573" t="s">
        <v>44</v>
      </c>
      <c r="K573" t="s">
        <v>34</v>
      </c>
      <c r="L573" t="s">
        <v>28</v>
      </c>
      <c r="M573" t="s">
        <v>31</v>
      </c>
      <c r="N573">
        <v>1</v>
      </c>
    </row>
    <row r="574" spans="1:14" x14ac:dyDescent="0.25">
      <c r="A574">
        <v>573</v>
      </c>
      <c r="B574">
        <v>26</v>
      </c>
      <c r="C574" t="s">
        <v>14</v>
      </c>
      <c r="D574" t="s">
        <v>36</v>
      </c>
      <c r="E574" t="s">
        <v>24</v>
      </c>
      <c r="F574" t="s">
        <v>30</v>
      </c>
      <c r="G574" s="4">
        <v>26</v>
      </c>
      <c r="H574" t="s">
        <v>37</v>
      </c>
      <c r="I574" s="4">
        <v>2858</v>
      </c>
      <c r="J574" t="s">
        <v>41</v>
      </c>
      <c r="K574" t="s">
        <v>38</v>
      </c>
      <c r="L574" t="s">
        <v>28</v>
      </c>
      <c r="M574" t="s">
        <v>31</v>
      </c>
      <c r="N574">
        <v>3</v>
      </c>
    </row>
    <row r="575" spans="1:14" x14ac:dyDescent="0.25">
      <c r="A575">
        <v>574</v>
      </c>
      <c r="B575">
        <v>33</v>
      </c>
      <c r="C575" t="s">
        <v>14</v>
      </c>
      <c r="D575" t="s">
        <v>15</v>
      </c>
      <c r="E575" t="s">
        <v>16</v>
      </c>
      <c r="F575" t="s">
        <v>45</v>
      </c>
      <c r="G575" s="4">
        <v>18</v>
      </c>
      <c r="H575" t="s">
        <v>40</v>
      </c>
      <c r="I575" s="4">
        <v>1393</v>
      </c>
      <c r="J575" t="s">
        <v>27</v>
      </c>
      <c r="K575" t="s">
        <v>48</v>
      </c>
      <c r="L575" t="s">
        <v>28</v>
      </c>
      <c r="M575" t="s">
        <v>31</v>
      </c>
      <c r="N575">
        <v>2</v>
      </c>
    </row>
    <row r="576" spans="1:14" x14ac:dyDescent="0.25">
      <c r="A576">
        <v>575</v>
      </c>
      <c r="B576">
        <v>20</v>
      </c>
      <c r="C576" t="s">
        <v>29</v>
      </c>
      <c r="D576" t="s">
        <v>32</v>
      </c>
      <c r="E576" t="s">
        <v>39</v>
      </c>
      <c r="F576" t="s">
        <v>17</v>
      </c>
      <c r="G576" s="4">
        <v>8</v>
      </c>
      <c r="H576" t="s">
        <v>34</v>
      </c>
      <c r="I576" s="4">
        <v>537</v>
      </c>
      <c r="J576" t="s">
        <v>44</v>
      </c>
      <c r="K576" t="s">
        <v>20</v>
      </c>
      <c r="L576" t="s">
        <v>28</v>
      </c>
      <c r="M576" t="s">
        <v>22</v>
      </c>
      <c r="N576">
        <v>1</v>
      </c>
    </row>
    <row r="577" spans="1:14" x14ac:dyDescent="0.25">
      <c r="A577">
        <v>576</v>
      </c>
      <c r="B577">
        <v>40</v>
      </c>
      <c r="C577" t="s">
        <v>14</v>
      </c>
      <c r="D577" t="s">
        <v>15</v>
      </c>
      <c r="E577" t="s">
        <v>24</v>
      </c>
      <c r="F577" t="s">
        <v>25</v>
      </c>
      <c r="G577" s="4">
        <v>14</v>
      </c>
      <c r="H577" t="s">
        <v>40</v>
      </c>
      <c r="I577" s="4">
        <v>117</v>
      </c>
      <c r="J577" t="s">
        <v>35</v>
      </c>
      <c r="K577" t="s">
        <v>38</v>
      </c>
      <c r="L577" t="s">
        <v>21</v>
      </c>
      <c r="M577" t="s">
        <v>22</v>
      </c>
      <c r="N577">
        <v>1</v>
      </c>
    </row>
    <row r="578" spans="1:14" x14ac:dyDescent="0.25">
      <c r="A578">
        <v>577</v>
      </c>
      <c r="B578">
        <v>20</v>
      </c>
      <c r="C578" t="s">
        <v>14</v>
      </c>
      <c r="D578" t="s">
        <v>15</v>
      </c>
      <c r="E578" t="s">
        <v>39</v>
      </c>
      <c r="F578" t="s">
        <v>42</v>
      </c>
      <c r="G578" s="4">
        <v>18</v>
      </c>
      <c r="H578" t="s">
        <v>47</v>
      </c>
      <c r="I578" s="4">
        <v>2829</v>
      </c>
      <c r="J578" t="s">
        <v>27</v>
      </c>
      <c r="K578" t="s">
        <v>48</v>
      </c>
      <c r="L578" t="s">
        <v>21</v>
      </c>
      <c r="M578" t="s">
        <v>22</v>
      </c>
      <c r="N578">
        <v>1</v>
      </c>
    </row>
    <row r="579" spans="1:14" x14ac:dyDescent="0.25">
      <c r="A579">
        <v>578</v>
      </c>
      <c r="B579">
        <v>33</v>
      </c>
      <c r="C579" t="s">
        <v>14</v>
      </c>
      <c r="D579" t="s">
        <v>32</v>
      </c>
      <c r="E579" t="s">
        <v>24</v>
      </c>
      <c r="F579" t="s">
        <v>33</v>
      </c>
      <c r="G579" s="4">
        <v>8</v>
      </c>
      <c r="H579" t="s">
        <v>18</v>
      </c>
      <c r="I579" s="4">
        <v>1036</v>
      </c>
      <c r="J579" t="s">
        <v>19</v>
      </c>
      <c r="K579" t="s">
        <v>38</v>
      </c>
      <c r="L579" t="s">
        <v>21</v>
      </c>
      <c r="M579" t="s">
        <v>22</v>
      </c>
      <c r="N579">
        <v>1</v>
      </c>
    </row>
    <row r="580" spans="1:14" x14ac:dyDescent="0.25">
      <c r="A580">
        <v>579</v>
      </c>
      <c r="B580">
        <v>39</v>
      </c>
      <c r="C580" t="s">
        <v>14</v>
      </c>
      <c r="D580" t="s">
        <v>36</v>
      </c>
      <c r="E580" t="s">
        <v>39</v>
      </c>
      <c r="F580" t="s">
        <v>45</v>
      </c>
      <c r="G580" s="4">
        <v>16</v>
      </c>
      <c r="H580" t="s">
        <v>34</v>
      </c>
      <c r="I580" s="4">
        <v>119</v>
      </c>
      <c r="J580" t="s">
        <v>50</v>
      </c>
      <c r="K580" t="s">
        <v>38</v>
      </c>
      <c r="L580" t="s">
        <v>21</v>
      </c>
      <c r="M580" t="s">
        <v>22</v>
      </c>
      <c r="N580">
        <v>1</v>
      </c>
    </row>
    <row r="581" spans="1:14" x14ac:dyDescent="0.25">
      <c r="A581">
        <v>580</v>
      </c>
      <c r="B581">
        <v>21</v>
      </c>
      <c r="C581" t="s">
        <v>14</v>
      </c>
      <c r="D581" t="s">
        <v>36</v>
      </c>
      <c r="E581" t="s">
        <v>16</v>
      </c>
      <c r="F581" t="s">
        <v>30</v>
      </c>
      <c r="G581" s="4">
        <v>23</v>
      </c>
      <c r="H581" t="s">
        <v>37</v>
      </c>
      <c r="I581" s="4">
        <v>57</v>
      </c>
      <c r="J581" t="s">
        <v>41</v>
      </c>
      <c r="K581" t="s">
        <v>48</v>
      </c>
      <c r="L581" t="s">
        <v>21</v>
      </c>
      <c r="M581" t="s">
        <v>31</v>
      </c>
      <c r="N581">
        <v>5</v>
      </c>
    </row>
    <row r="582" spans="1:14" x14ac:dyDescent="0.25">
      <c r="A582">
        <v>581</v>
      </c>
      <c r="B582">
        <v>29</v>
      </c>
      <c r="C582" t="s">
        <v>29</v>
      </c>
      <c r="D582" t="s">
        <v>36</v>
      </c>
      <c r="E582" t="s">
        <v>16</v>
      </c>
      <c r="F582" t="s">
        <v>25</v>
      </c>
      <c r="G582" s="4">
        <v>27</v>
      </c>
      <c r="H582" t="s">
        <v>34</v>
      </c>
      <c r="I582" s="4">
        <v>2414</v>
      </c>
      <c r="J582" t="s">
        <v>45</v>
      </c>
      <c r="K582" t="s">
        <v>20</v>
      </c>
      <c r="L582" t="s">
        <v>21</v>
      </c>
      <c r="M582" t="s">
        <v>22</v>
      </c>
      <c r="N582">
        <v>2</v>
      </c>
    </row>
    <row r="583" spans="1:14" x14ac:dyDescent="0.25">
      <c r="A583">
        <v>582</v>
      </c>
      <c r="B583">
        <v>31</v>
      </c>
      <c r="C583" t="s">
        <v>29</v>
      </c>
      <c r="D583" t="s">
        <v>15</v>
      </c>
      <c r="E583" t="s">
        <v>24</v>
      </c>
      <c r="F583" t="s">
        <v>25</v>
      </c>
      <c r="G583" s="4">
        <v>8</v>
      </c>
      <c r="H583" t="s">
        <v>43</v>
      </c>
      <c r="I583" s="4">
        <v>1287</v>
      </c>
      <c r="J583" t="s">
        <v>50</v>
      </c>
      <c r="K583" t="s">
        <v>34</v>
      </c>
      <c r="L583" t="s">
        <v>21</v>
      </c>
      <c r="M583" t="s">
        <v>22</v>
      </c>
      <c r="N583">
        <v>1</v>
      </c>
    </row>
    <row r="584" spans="1:14" x14ac:dyDescent="0.25">
      <c r="A584">
        <v>583</v>
      </c>
      <c r="B584">
        <v>28</v>
      </c>
      <c r="C584" t="s">
        <v>29</v>
      </c>
      <c r="D584" t="s">
        <v>32</v>
      </c>
      <c r="E584" t="s">
        <v>24</v>
      </c>
      <c r="F584" t="s">
        <v>17</v>
      </c>
      <c r="G584" s="4">
        <v>20</v>
      </c>
      <c r="H584" t="s">
        <v>46</v>
      </c>
      <c r="I584" s="4">
        <v>473</v>
      </c>
      <c r="J584" t="s">
        <v>49</v>
      </c>
      <c r="K584" t="s">
        <v>38</v>
      </c>
      <c r="L584" t="s">
        <v>28</v>
      </c>
      <c r="M584" t="s">
        <v>31</v>
      </c>
      <c r="N584">
        <v>4</v>
      </c>
    </row>
    <row r="585" spans="1:14" x14ac:dyDescent="0.25">
      <c r="A585">
        <v>584</v>
      </c>
      <c r="B585">
        <v>31</v>
      </c>
      <c r="C585" t="s">
        <v>23</v>
      </c>
      <c r="D585" t="s">
        <v>32</v>
      </c>
      <c r="E585" t="s">
        <v>16</v>
      </c>
      <c r="F585" t="s">
        <v>33</v>
      </c>
      <c r="G585" s="4">
        <v>11</v>
      </c>
      <c r="H585" t="s">
        <v>43</v>
      </c>
      <c r="I585" s="4">
        <v>285</v>
      </c>
      <c r="J585" t="s">
        <v>19</v>
      </c>
      <c r="K585" t="s">
        <v>20</v>
      </c>
      <c r="L585" t="s">
        <v>28</v>
      </c>
      <c r="M585" t="s">
        <v>22</v>
      </c>
      <c r="N585">
        <v>4</v>
      </c>
    </row>
    <row r="586" spans="1:14" x14ac:dyDescent="0.25">
      <c r="A586">
        <v>585</v>
      </c>
      <c r="B586">
        <v>21</v>
      </c>
      <c r="C586" t="s">
        <v>23</v>
      </c>
      <c r="D586" t="s">
        <v>36</v>
      </c>
      <c r="E586" t="s">
        <v>16</v>
      </c>
      <c r="F586" t="s">
        <v>17</v>
      </c>
      <c r="G586" s="4">
        <v>9</v>
      </c>
      <c r="H586" t="s">
        <v>37</v>
      </c>
      <c r="I586" s="4">
        <v>1617</v>
      </c>
      <c r="J586" t="s">
        <v>19</v>
      </c>
      <c r="K586" t="s">
        <v>34</v>
      </c>
      <c r="L586" t="s">
        <v>21</v>
      </c>
      <c r="M586" t="s">
        <v>31</v>
      </c>
      <c r="N586">
        <v>4</v>
      </c>
    </row>
    <row r="587" spans="1:14" x14ac:dyDescent="0.25">
      <c r="A587">
        <v>586</v>
      </c>
      <c r="B587">
        <v>24</v>
      </c>
      <c r="C587" t="s">
        <v>14</v>
      </c>
      <c r="D587" t="s">
        <v>32</v>
      </c>
      <c r="E587" t="s">
        <v>24</v>
      </c>
      <c r="F587" t="s">
        <v>42</v>
      </c>
      <c r="G587" s="4">
        <v>24</v>
      </c>
      <c r="H587" t="s">
        <v>46</v>
      </c>
      <c r="I587" s="4">
        <v>1655</v>
      </c>
      <c r="J587" t="s">
        <v>35</v>
      </c>
      <c r="K587" t="s">
        <v>20</v>
      </c>
      <c r="L587" t="s">
        <v>28</v>
      </c>
      <c r="M587" t="s">
        <v>31</v>
      </c>
      <c r="N587">
        <v>1</v>
      </c>
    </row>
    <row r="588" spans="1:14" x14ac:dyDescent="0.25">
      <c r="A588">
        <v>587</v>
      </c>
      <c r="B588">
        <v>39</v>
      </c>
      <c r="C588" t="s">
        <v>23</v>
      </c>
      <c r="D588" t="s">
        <v>32</v>
      </c>
      <c r="E588" t="s">
        <v>16</v>
      </c>
      <c r="F588" t="s">
        <v>42</v>
      </c>
      <c r="G588" s="4">
        <v>24</v>
      </c>
      <c r="H588" t="s">
        <v>18</v>
      </c>
      <c r="I588" s="4">
        <v>1656</v>
      </c>
      <c r="J588" t="s">
        <v>19</v>
      </c>
      <c r="K588" t="s">
        <v>34</v>
      </c>
      <c r="L588" t="s">
        <v>28</v>
      </c>
      <c r="M588" t="s">
        <v>31</v>
      </c>
      <c r="N588">
        <v>4</v>
      </c>
    </row>
    <row r="589" spans="1:14" x14ac:dyDescent="0.25">
      <c r="A589">
        <v>588</v>
      </c>
      <c r="B589">
        <v>25</v>
      </c>
      <c r="C589" t="s">
        <v>14</v>
      </c>
      <c r="D589" t="s">
        <v>36</v>
      </c>
      <c r="E589" t="s">
        <v>16</v>
      </c>
      <c r="F589" t="s">
        <v>33</v>
      </c>
      <c r="G589" s="4">
        <v>25</v>
      </c>
      <c r="H589" t="s">
        <v>43</v>
      </c>
      <c r="I589" s="4">
        <v>551</v>
      </c>
      <c r="J589" t="s">
        <v>41</v>
      </c>
      <c r="K589" t="s">
        <v>38</v>
      </c>
      <c r="L589" t="s">
        <v>28</v>
      </c>
      <c r="M589" t="s">
        <v>31</v>
      </c>
      <c r="N589">
        <v>1</v>
      </c>
    </row>
    <row r="590" spans="1:14" x14ac:dyDescent="0.25">
      <c r="A590">
        <v>589</v>
      </c>
      <c r="B590">
        <v>22</v>
      </c>
      <c r="C590" t="s">
        <v>14</v>
      </c>
      <c r="D590" t="s">
        <v>15</v>
      </c>
      <c r="E590" t="s">
        <v>24</v>
      </c>
      <c r="F590" t="s">
        <v>45</v>
      </c>
      <c r="G590" s="4">
        <v>14</v>
      </c>
      <c r="H590" t="s">
        <v>43</v>
      </c>
      <c r="I590" s="4">
        <v>2547</v>
      </c>
      <c r="J590" t="s">
        <v>49</v>
      </c>
      <c r="K590" t="s">
        <v>38</v>
      </c>
      <c r="L590" t="s">
        <v>28</v>
      </c>
      <c r="M590" t="s">
        <v>31</v>
      </c>
      <c r="N590">
        <v>5</v>
      </c>
    </row>
    <row r="591" spans="1:14" x14ac:dyDescent="0.25">
      <c r="A591">
        <v>590</v>
      </c>
      <c r="B591">
        <v>33</v>
      </c>
      <c r="C591" t="s">
        <v>29</v>
      </c>
      <c r="D591" t="s">
        <v>36</v>
      </c>
      <c r="E591" t="s">
        <v>24</v>
      </c>
      <c r="F591" t="s">
        <v>33</v>
      </c>
      <c r="G591" s="4">
        <v>21</v>
      </c>
      <c r="H591" t="s">
        <v>47</v>
      </c>
      <c r="I591" s="4">
        <v>1071</v>
      </c>
      <c r="J591" t="s">
        <v>45</v>
      </c>
      <c r="K591" t="s">
        <v>48</v>
      </c>
      <c r="L591" t="s">
        <v>28</v>
      </c>
      <c r="M591" t="s">
        <v>31</v>
      </c>
      <c r="N591">
        <v>5</v>
      </c>
    </row>
    <row r="592" spans="1:14" x14ac:dyDescent="0.25">
      <c r="A592">
        <v>591</v>
      </c>
      <c r="B592">
        <v>28</v>
      </c>
      <c r="C592" t="s">
        <v>14</v>
      </c>
      <c r="D592" t="s">
        <v>15</v>
      </c>
      <c r="E592" t="s">
        <v>16</v>
      </c>
      <c r="F592" t="s">
        <v>45</v>
      </c>
      <c r="G592" s="4">
        <v>17</v>
      </c>
      <c r="H592" t="s">
        <v>46</v>
      </c>
      <c r="I592" s="4">
        <v>1812</v>
      </c>
      <c r="J592" t="s">
        <v>44</v>
      </c>
      <c r="K592" t="s">
        <v>20</v>
      </c>
      <c r="L592" t="s">
        <v>28</v>
      </c>
      <c r="M592" t="s">
        <v>22</v>
      </c>
      <c r="N592">
        <v>4</v>
      </c>
    </row>
    <row r="593" spans="1:14" x14ac:dyDescent="0.25">
      <c r="A593">
        <v>592</v>
      </c>
      <c r="B593">
        <v>27</v>
      </c>
      <c r="C593" t="s">
        <v>14</v>
      </c>
      <c r="D593" t="s">
        <v>36</v>
      </c>
      <c r="E593" t="s">
        <v>24</v>
      </c>
      <c r="F593" t="s">
        <v>42</v>
      </c>
      <c r="G593" s="4">
        <v>27</v>
      </c>
      <c r="H593" t="s">
        <v>43</v>
      </c>
      <c r="I593" s="4">
        <v>1593</v>
      </c>
      <c r="J593" t="s">
        <v>49</v>
      </c>
      <c r="K593" t="s">
        <v>38</v>
      </c>
      <c r="L593" t="s">
        <v>21</v>
      </c>
      <c r="M593" t="s">
        <v>31</v>
      </c>
      <c r="N593">
        <v>4</v>
      </c>
    </row>
    <row r="594" spans="1:14" x14ac:dyDescent="0.25">
      <c r="A594">
        <v>593</v>
      </c>
      <c r="B594">
        <v>26</v>
      </c>
      <c r="C594" t="s">
        <v>23</v>
      </c>
      <c r="D594" t="s">
        <v>36</v>
      </c>
      <c r="E594" t="s">
        <v>39</v>
      </c>
      <c r="F594" t="s">
        <v>30</v>
      </c>
      <c r="G594" s="4">
        <v>20</v>
      </c>
      <c r="H594" t="s">
        <v>34</v>
      </c>
      <c r="I594" s="4">
        <v>2420</v>
      </c>
      <c r="J594" t="s">
        <v>41</v>
      </c>
      <c r="K594" t="s">
        <v>48</v>
      </c>
      <c r="L594" t="s">
        <v>21</v>
      </c>
      <c r="M594" t="s">
        <v>22</v>
      </c>
      <c r="N594">
        <v>4</v>
      </c>
    </row>
    <row r="595" spans="1:14" x14ac:dyDescent="0.25">
      <c r="A595">
        <v>594</v>
      </c>
      <c r="B595">
        <v>29</v>
      </c>
      <c r="C595" t="s">
        <v>23</v>
      </c>
      <c r="D595" t="s">
        <v>32</v>
      </c>
      <c r="E595" t="s">
        <v>39</v>
      </c>
      <c r="F595" t="s">
        <v>33</v>
      </c>
      <c r="G595" s="4">
        <v>16</v>
      </c>
      <c r="H595" t="s">
        <v>26</v>
      </c>
      <c r="I595" s="4">
        <v>2391</v>
      </c>
      <c r="J595" t="s">
        <v>50</v>
      </c>
      <c r="K595" t="s">
        <v>34</v>
      </c>
      <c r="L595" t="s">
        <v>28</v>
      </c>
      <c r="M595" t="s">
        <v>31</v>
      </c>
      <c r="N595">
        <v>1</v>
      </c>
    </row>
    <row r="596" spans="1:14" x14ac:dyDescent="0.25">
      <c r="A596">
        <v>595</v>
      </c>
      <c r="B596">
        <v>19</v>
      </c>
      <c r="C596" t="s">
        <v>14</v>
      </c>
      <c r="D596" t="s">
        <v>36</v>
      </c>
      <c r="E596" t="s">
        <v>39</v>
      </c>
      <c r="F596" t="s">
        <v>45</v>
      </c>
      <c r="G596" s="4">
        <v>26</v>
      </c>
      <c r="H596" t="s">
        <v>18</v>
      </c>
      <c r="I596" s="4">
        <v>1000</v>
      </c>
      <c r="J596" t="s">
        <v>19</v>
      </c>
      <c r="K596" t="s">
        <v>34</v>
      </c>
      <c r="L596" t="s">
        <v>21</v>
      </c>
      <c r="M596" t="s">
        <v>31</v>
      </c>
      <c r="N596">
        <v>2</v>
      </c>
    </row>
    <row r="597" spans="1:14" x14ac:dyDescent="0.25">
      <c r="A597">
        <v>596</v>
      </c>
      <c r="B597">
        <v>23</v>
      </c>
      <c r="C597" t="s">
        <v>14</v>
      </c>
      <c r="D597" t="s">
        <v>32</v>
      </c>
      <c r="E597" t="s">
        <v>24</v>
      </c>
      <c r="F597" t="s">
        <v>42</v>
      </c>
      <c r="G597" s="4">
        <v>5</v>
      </c>
      <c r="H597" t="s">
        <v>26</v>
      </c>
      <c r="I597" s="4">
        <v>2205</v>
      </c>
      <c r="J597" t="s">
        <v>35</v>
      </c>
      <c r="K597" t="s">
        <v>48</v>
      </c>
      <c r="L597" t="s">
        <v>28</v>
      </c>
      <c r="M597" t="s">
        <v>22</v>
      </c>
      <c r="N597">
        <v>3</v>
      </c>
    </row>
    <row r="598" spans="1:14" x14ac:dyDescent="0.25">
      <c r="A598">
        <v>597</v>
      </c>
      <c r="B598">
        <v>28</v>
      </c>
      <c r="C598" t="s">
        <v>29</v>
      </c>
      <c r="D598" t="s">
        <v>36</v>
      </c>
      <c r="E598" t="s">
        <v>16</v>
      </c>
      <c r="F598" t="s">
        <v>42</v>
      </c>
      <c r="G598" s="4">
        <v>17</v>
      </c>
      <c r="H598" t="s">
        <v>18</v>
      </c>
      <c r="I598" s="4">
        <v>2336</v>
      </c>
      <c r="J598" t="s">
        <v>27</v>
      </c>
      <c r="K598" t="s">
        <v>34</v>
      </c>
      <c r="L598" t="s">
        <v>28</v>
      </c>
      <c r="M598" t="s">
        <v>31</v>
      </c>
      <c r="N598">
        <v>4</v>
      </c>
    </row>
    <row r="599" spans="1:14" x14ac:dyDescent="0.25">
      <c r="A599">
        <v>598</v>
      </c>
      <c r="B599">
        <v>23</v>
      </c>
      <c r="C599" t="s">
        <v>29</v>
      </c>
      <c r="D599" t="s">
        <v>15</v>
      </c>
      <c r="E599" t="s">
        <v>39</v>
      </c>
      <c r="F599" t="s">
        <v>17</v>
      </c>
      <c r="G599" s="4">
        <v>24</v>
      </c>
      <c r="H599" t="s">
        <v>18</v>
      </c>
      <c r="I599" s="4">
        <v>1226</v>
      </c>
      <c r="J599" t="s">
        <v>27</v>
      </c>
      <c r="K599" t="s">
        <v>34</v>
      </c>
      <c r="L599" t="s">
        <v>28</v>
      </c>
      <c r="M599" t="s">
        <v>22</v>
      </c>
      <c r="N599">
        <v>3</v>
      </c>
    </row>
    <row r="600" spans="1:14" x14ac:dyDescent="0.25">
      <c r="A600">
        <v>599</v>
      </c>
      <c r="B600">
        <v>27</v>
      </c>
      <c r="C600" t="s">
        <v>23</v>
      </c>
      <c r="D600" t="s">
        <v>36</v>
      </c>
      <c r="E600" t="s">
        <v>16</v>
      </c>
      <c r="F600" t="s">
        <v>17</v>
      </c>
      <c r="G600" s="4">
        <v>23</v>
      </c>
      <c r="H600" t="s">
        <v>18</v>
      </c>
      <c r="I600" s="4">
        <v>1646</v>
      </c>
      <c r="J600" t="s">
        <v>50</v>
      </c>
      <c r="K600" t="s">
        <v>34</v>
      </c>
      <c r="L600" t="s">
        <v>21</v>
      </c>
      <c r="M600" t="s">
        <v>31</v>
      </c>
      <c r="N600">
        <v>2</v>
      </c>
    </row>
    <row r="601" spans="1:14" x14ac:dyDescent="0.25">
      <c r="A601">
        <v>600</v>
      </c>
      <c r="B601">
        <v>31</v>
      </c>
      <c r="C601" t="s">
        <v>23</v>
      </c>
      <c r="D601" t="s">
        <v>32</v>
      </c>
      <c r="E601" t="s">
        <v>24</v>
      </c>
      <c r="F601" t="s">
        <v>30</v>
      </c>
      <c r="G601" s="4">
        <v>11</v>
      </c>
      <c r="H601" t="s">
        <v>26</v>
      </c>
      <c r="I601" s="4">
        <v>1422</v>
      </c>
      <c r="J601" t="s">
        <v>50</v>
      </c>
      <c r="K601" t="s">
        <v>38</v>
      </c>
      <c r="L601" t="s">
        <v>28</v>
      </c>
      <c r="M601" t="s">
        <v>31</v>
      </c>
      <c r="N601">
        <v>1</v>
      </c>
    </row>
    <row r="602" spans="1:14" x14ac:dyDescent="0.25">
      <c r="A602">
        <v>601</v>
      </c>
      <c r="B602">
        <v>26</v>
      </c>
      <c r="C602" t="s">
        <v>23</v>
      </c>
      <c r="D602" t="s">
        <v>36</v>
      </c>
      <c r="E602" t="s">
        <v>16</v>
      </c>
      <c r="F602" t="s">
        <v>33</v>
      </c>
      <c r="G602" s="4">
        <v>24</v>
      </c>
      <c r="H602" t="s">
        <v>37</v>
      </c>
      <c r="I602" s="4">
        <v>2110</v>
      </c>
      <c r="J602" t="s">
        <v>49</v>
      </c>
      <c r="K602" t="s">
        <v>38</v>
      </c>
      <c r="L602" t="s">
        <v>28</v>
      </c>
      <c r="M602" t="s">
        <v>31</v>
      </c>
      <c r="N602">
        <v>4</v>
      </c>
    </row>
    <row r="603" spans="1:14" x14ac:dyDescent="0.25">
      <c r="A603">
        <v>602</v>
      </c>
      <c r="B603">
        <v>38</v>
      </c>
      <c r="C603" t="s">
        <v>23</v>
      </c>
      <c r="D603" t="s">
        <v>36</v>
      </c>
      <c r="E603" t="s">
        <v>24</v>
      </c>
      <c r="F603" t="s">
        <v>33</v>
      </c>
      <c r="G603" s="4">
        <v>22</v>
      </c>
      <c r="H603" t="s">
        <v>40</v>
      </c>
      <c r="I603" s="4">
        <v>2516</v>
      </c>
      <c r="J603" t="s">
        <v>50</v>
      </c>
      <c r="K603" t="s">
        <v>20</v>
      </c>
      <c r="L603" t="s">
        <v>21</v>
      </c>
      <c r="M603" t="s">
        <v>22</v>
      </c>
      <c r="N603">
        <v>4</v>
      </c>
    </row>
    <row r="604" spans="1:14" x14ac:dyDescent="0.25">
      <c r="A604">
        <v>603</v>
      </c>
      <c r="B604">
        <v>22</v>
      </c>
      <c r="C604" t="s">
        <v>29</v>
      </c>
      <c r="D604" t="s">
        <v>32</v>
      </c>
      <c r="E604" t="s">
        <v>39</v>
      </c>
      <c r="F604" t="s">
        <v>33</v>
      </c>
      <c r="G604" s="4">
        <v>28</v>
      </c>
      <c r="H604" t="s">
        <v>40</v>
      </c>
      <c r="I604" s="4">
        <v>2807</v>
      </c>
      <c r="J604" t="s">
        <v>45</v>
      </c>
      <c r="K604" t="s">
        <v>34</v>
      </c>
      <c r="L604" t="s">
        <v>28</v>
      </c>
      <c r="M604" t="s">
        <v>22</v>
      </c>
      <c r="N604">
        <v>3</v>
      </c>
    </row>
    <row r="605" spans="1:14" x14ac:dyDescent="0.25">
      <c r="A605">
        <v>604</v>
      </c>
      <c r="B605">
        <v>26</v>
      </c>
      <c r="C605" t="s">
        <v>29</v>
      </c>
      <c r="D605" t="s">
        <v>15</v>
      </c>
      <c r="E605" t="s">
        <v>16</v>
      </c>
      <c r="F605" t="s">
        <v>25</v>
      </c>
      <c r="G605" s="4">
        <v>26</v>
      </c>
      <c r="H605" t="s">
        <v>40</v>
      </c>
      <c r="I605" s="4">
        <v>2462</v>
      </c>
      <c r="J605" t="s">
        <v>41</v>
      </c>
      <c r="K605" t="s">
        <v>38</v>
      </c>
      <c r="L605" t="s">
        <v>28</v>
      </c>
      <c r="M605" t="s">
        <v>31</v>
      </c>
      <c r="N605">
        <v>2</v>
      </c>
    </row>
    <row r="606" spans="1:14" x14ac:dyDescent="0.25">
      <c r="A606">
        <v>605</v>
      </c>
      <c r="B606">
        <v>33</v>
      </c>
      <c r="C606" t="s">
        <v>23</v>
      </c>
      <c r="D606" t="s">
        <v>15</v>
      </c>
      <c r="E606" t="s">
        <v>16</v>
      </c>
      <c r="F606" t="s">
        <v>25</v>
      </c>
      <c r="G606" s="4">
        <v>22</v>
      </c>
      <c r="H606" t="s">
        <v>46</v>
      </c>
      <c r="I606" s="4">
        <v>1786</v>
      </c>
      <c r="J606" t="s">
        <v>44</v>
      </c>
      <c r="K606" t="s">
        <v>48</v>
      </c>
      <c r="L606" t="s">
        <v>28</v>
      </c>
      <c r="M606" t="s">
        <v>31</v>
      </c>
      <c r="N606">
        <v>4</v>
      </c>
    </row>
    <row r="607" spans="1:14" x14ac:dyDescent="0.25">
      <c r="A607">
        <v>606</v>
      </c>
      <c r="B607">
        <v>39</v>
      </c>
      <c r="C607" t="s">
        <v>23</v>
      </c>
      <c r="D607" t="s">
        <v>32</v>
      </c>
      <c r="E607" t="s">
        <v>16</v>
      </c>
      <c r="F607" t="s">
        <v>33</v>
      </c>
      <c r="G607" s="4">
        <v>22</v>
      </c>
      <c r="H607" t="s">
        <v>18</v>
      </c>
      <c r="I607" s="4">
        <v>720</v>
      </c>
      <c r="J607" t="s">
        <v>50</v>
      </c>
      <c r="K607" t="s">
        <v>34</v>
      </c>
      <c r="L607" t="s">
        <v>21</v>
      </c>
      <c r="M607" t="s">
        <v>31</v>
      </c>
      <c r="N607">
        <v>1</v>
      </c>
    </row>
    <row r="608" spans="1:14" x14ac:dyDescent="0.25">
      <c r="A608">
        <v>607</v>
      </c>
      <c r="B608">
        <v>29</v>
      </c>
      <c r="C608" t="s">
        <v>29</v>
      </c>
      <c r="D608" t="s">
        <v>36</v>
      </c>
      <c r="E608" t="s">
        <v>16</v>
      </c>
      <c r="F608" t="s">
        <v>25</v>
      </c>
      <c r="G608" s="4">
        <v>26</v>
      </c>
      <c r="H608" t="s">
        <v>18</v>
      </c>
      <c r="I608" s="4">
        <v>2692</v>
      </c>
      <c r="J608" t="s">
        <v>19</v>
      </c>
      <c r="K608" t="s">
        <v>34</v>
      </c>
      <c r="L608" t="s">
        <v>28</v>
      </c>
      <c r="M608" t="s">
        <v>22</v>
      </c>
      <c r="N608">
        <v>1</v>
      </c>
    </row>
    <row r="609" spans="1:14" x14ac:dyDescent="0.25">
      <c r="A609">
        <v>608</v>
      </c>
      <c r="B609">
        <v>25</v>
      </c>
      <c r="C609" t="s">
        <v>29</v>
      </c>
      <c r="D609" t="s">
        <v>36</v>
      </c>
      <c r="E609" t="s">
        <v>24</v>
      </c>
      <c r="F609" t="s">
        <v>42</v>
      </c>
      <c r="G609" s="4">
        <v>24</v>
      </c>
      <c r="H609" t="s">
        <v>40</v>
      </c>
      <c r="I609" s="4">
        <v>500</v>
      </c>
      <c r="J609" t="s">
        <v>45</v>
      </c>
      <c r="K609" t="s">
        <v>38</v>
      </c>
      <c r="L609" t="s">
        <v>21</v>
      </c>
      <c r="M609" t="s">
        <v>22</v>
      </c>
      <c r="N609">
        <v>3</v>
      </c>
    </row>
    <row r="610" spans="1:14" x14ac:dyDescent="0.25">
      <c r="A610">
        <v>609</v>
      </c>
      <c r="B610">
        <v>23</v>
      </c>
      <c r="C610" t="s">
        <v>29</v>
      </c>
      <c r="D610" t="s">
        <v>32</v>
      </c>
      <c r="E610" t="s">
        <v>24</v>
      </c>
      <c r="F610" t="s">
        <v>33</v>
      </c>
      <c r="G610" s="4">
        <v>11</v>
      </c>
      <c r="H610" t="s">
        <v>43</v>
      </c>
      <c r="I610" s="4">
        <v>1124</v>
      </c>
      <c r="J610" t="s">
        <v>50</v>
      </c>
      <c r="K610" t="s">
        <v>48</v>
      </c>
      <c r="L610" t="s">
        <v>28</v>
      </c>
      <c r="M610" t="s">
        <v>31</v>
      </c>
      <c r="N610">
        <v>4</v>
      </c>
    </row>
    <row r="611" spans="1:14" x14ac:dyDescent="0.25">
      <c r="A611">
        <v>610</v>
      </c>
      <c r="B611">
        <v>33</v>
      </c>
      <c r="C611" t="s">
        <v>14</v>
      </c>
      <c r="D611" t="s">
        <v>32</v>
      </c>
      <c r="E611" t="s">
        <v>39</v>
      </c>
      <c r="F611" t="s">
        <v>17</v>
      </c>
      <c r="G611" s="4">
        <v>26</v>
      </c>
      <c r="H611" t="s">
        <v>34</v>
      </c>
      <c r="I611" s="4">
        <v>1009</v>
      </c>
      <c r="J611" t="s">
        <v>35</v>
      </c>
      <c r="K611" t="s">
        <v>48</v>
      </c>
      <c r="L611" t="s">
        <v>21</v>
      </c>
      <c r="M611" t="s">
        <v>22</v>
      </c>
      <c r="N611">
        <v>3</v>
      </c>
    </row>
    <row r="612" spans="1:14" x14ac:dyDescent="0.25">
      <c r="A612">
        <v>611</v>
      </c>
      <c r="B612">
        <v>40</v>
      </c>
      <c r="C612" t="s">
        <v>29</v>
      </c>
      <c r="D612" t="s">
        <v>36</v>
      </c>
      <c r="E612" t="s">
        <v>39</v>
      </c>
      <c r="F612" t="s">
        <v>30</v>
      </c>
      <c r="G612" s="4">
        <v>30</v>
      </c>
      <c r="H612" t="s">
        <v>34</v>
      </c>
      <c r="I612" s="4">
        <v>2750</v>
      </c>
      <c r="J612" t="s">
        <v>19</v>
      </c>
      <c r="K612" t="s">
        <v>38</v>
      </c>
      <c r="L612" t="s">
        <v>28</v>
      </c>
      <c r="M612" t="s">
        <v>31</v>
      </c>
      <c r="N612">
        <v>2</v>
      </c>
    </row>
    <row r="613" spans="1:14" x14ac:dyDescent="0.25">
      <c r="A613">
        <v>612</v>
      </c>
      <c r="B613">
        <v>18</v>
      </c>
      <c r="C613" t="s">
        <v>14</v>
      </c>
      <c r="D613" t="s">
        <v>15</v>
      </c>
      <c r="E613" t="s">
        <v>39</v>
      </c>
      <c r="F613" t="s">
        <v>25</v>
      </c>
      <c r="G613" s="4">
        <v>17</v>
      </c>
      <c r="H613" t="s">
        <v>37</v>
      </c>
      <c r="I613" s="4">
        <v>1046</v>
      </c>
      <c r="J613" t="s">
        <v>49</v>
      </c>
      <c r="K613" t="s">
        <v>34</v>
      </c>
      <c r="L613" t="s">
        <v>28</v>
      </c>
      <c r="M613" t="s">
        <v>22</v>
      </c>
      <c r="N613">
        <v>3</v>
      </c>
    </row>
    <row r="614" spans="1:14" x14ac:dyDescent="0.25">
      <c r="A614">
        <v>613</v>
      </c>
      <c r="B614">
        <v>26</v>
      </c>
      <c r="C614" t="s">
        <v>23</v>
      </c>
      <c r="D614" t="s">
        <v>32</v>
      </c>
      <c r="E614" t="s">
        <v>39</v>
      </c>
      <c r="F614" t="s">
        <v>17</v>
      </c>
      <c r="G614" s="4">
        <v>7</v>
      </c>
      <c r="H614" t="s">
        <v>26</v>
      </c>
      <c r="I614" s="4">
        <v>2013</v>
      </c>
      <c r="J614" t="s">
        <v>19</v>
      </c>
      <c r="K614" t="s">
        <v>38</v>
      </c>
      <c r="L614" t="s">
        <v>28</v>
      </c>
      <c r="M614" t="s">
        <v>22</v>
      </c>
      <c r="N614">
        <v>4</v>
      </c>
    </row>
    <row r="615" spans="1:14" x14ac:dyDescent="0.25">
      <c r="A615">
        <v>614</v>
      </c>
      <c r="B615">
        <v>29</v>
      </c>
      <c r="C615" t="s">
        <v>23</v>
      </c>
      <c r="D615" t="s">
        <v>32</v>
      </c>
      <c r="E615" t="s">
        <v>39</v>
      </c>
      <c r="F615" t="s">
        <v>17</v>
      </c>
      <c r="G615" s="4">
        <v>18</v>
      </c>
      <c r="H615" t="s">
        <v>47</v>
      </c>
      <c r="I615" s="4">
        <v>2466</v>
      </c>
      <c r="J615" t="s">
        <v>41</v>
      </c>
      <c r="K615" t="s">
        <v>38</v>
      </c>
      <c r="L615" t="s">
        <v>28</v>
      </c>
      <c r="M615" t="s">
        <v>22</v>
      </c>
      <c r="N615">
        <v>5</v>
      </c>
    </row>
    <row r="616" spans="1:14" x14ac:dyDescent="0.25">
      <c r="A616">
        <v>615</v>
      </c>
      <c r="B616">
        <v>18</v>
      </c>
      <c r="C616" t="s">
        <v>29</v>
      </c>
      <c r="D616" t="s">
        <v>36</v>
      </c>
      <c r="E616" t="s">
        <v>16</v>
      </c>
      <c r="F616" t="s">
        <v>33</v>
      </c>
      <c r="G616" s="4">
        <v>17</v>
      </c>
      <c r="H616" t="s">
        <v>37</v>
      </c>
      <c r="I616" s="4">
        <v>819</v>
      </c>
      <c r="J616" t="s">
        <v>27</v>
      </c>
      <c r="K616" t="s">
        <v>38</v>
      </c>
      <c r="L616" t="s">
        <v>28</v>
      </c>
      <c r="M616" t="s">
        <v>31</v>
      </c>
      <c r="N616">
        <v>3</v>
      </c>
    </row>
    <row r="617" spans="1:14" x14ac:dyDescent="0.25">
      <c r="A617">
        <v>616</v>
      </c>
      <c r="B617">
        <v>32</v>
      </c>
      <c r="C617" t="s">
        <v>14</v>
      </c>
      <c r="D617" t="s">
        <v>36</v>
      </c>
      <c r="E617" t="s">
        <v>24</v>
      </c>
      <c r="F617" t="s">
        <v>30</v>
      </c>
      <c r="G617" s="4">
        <v>20</v>
      </c>
      <c r="H617" t="s">
        <v>46</v>
      </c>
      <c r="I617" s="4">
        <v>546</v>
      </c>
      <c r="J617" t="s">
        <v>27</v>
      </c>
      <c r="K617" t="s">
        <v>48</v>
      </c>
      <c r="L617" t="s">
        <v>28</v>
      </c>
      <c r="M617" t="s">
        <v>31</v>
      </c>
      <c r="N617">
        <v>3</v>
      </c>
    </row>
    <row r="618" spans="1:14" x14ac:dyDescent="0.25">
      <c r="A618">
        <v>617</v>
      </c>
      <c r="B618">
        <v>23</v>
      </c>
      <c r="C618" t="s">
        <v>14</v>
      </c>
      <c r="D618" t="s">
        <v>15</v>
      </c>
      <c r="E618" t="s">
        <v>16</v>
      </c>
      <c r="F618" t="s">
        <v>45</v>
      </c>
      <c r="G618" s="4">
        <v>17</v>
      </c>
      <c r="H618" t="s">
        <v>40</v>
      </c>
      <c r="I618" s="4">
        <v>1545</v>
      </c>
      <c r="J618" t="s">
        <v>19</v>
      </c>
      <c r="K618" t="s">
        <v>20</v>
      </c>
      <c r="L618" t="s">
        <v>21</v>
      </c>
      <c r="M618" t="s">
        <v>31</v>
      </c>
      <c r="N618">
        <v>5</v>
      </c>
    </row>
    <row r="619" spans="1:14" x14ac:dyDescent="0.25">
      <c r="A619">
        <v>618</v>
      </c>
      <c r="B619">
        <v>40</v>
      </c>
      <c r="C619" t="s">
        <v>23</v>
      </c>
      <c r="D619" t="s">
        <v>32</v>
      </c>
      <c r="E619" t="s">
        <v>24</v>
      </c>
      <c r="F619" t="s">
        <v>30</v>
      </c>
      <c r="G619" s="4">
        <v>10</v>
      </c>
      <c r="H619" t="s">
        <v>37</v>
      </c>
      <c r="I619" s="4">
        <v>203</v>
      </c>
      <c r="J619" t="s">
        <v>19</v>
      </c>
      <c r="K619" t="s">
        <v>34</v>
      </c>
      <c r="L619" t="s">
        <v>21</v>
      </c>
      <c r="M619" t="s">
        <v>22</v>
      </c>
      <c r="N619">
        <v>4</v>
      </c>
    </row>
    <row r="620" spans="1:14" x14ac:dyDescent="0.25">
      <c r="A620">
        <v>619</v>
      </c>
      <c r="B620">
        <v>18</v>
      </c>
      <c r="C620" t="s">
        <v>29</v>
      </c>
      <c r="D620" t="s">
        <v>36</v>
      </c>
      <c r="E620" t="s">
        <v>39</v>
      </c>
      <c r="F620" t="s">
        <v>33</v>
      </c>
      <c r="G620" s="4">
        <v>27</v>
      </c>
      <c r="H620" t="s">
        <v>40</v>
      </c>
      <c r="I620" s="4">
        <v>2153</v>
      </c>
      <c r="J620" t="s">
        <v>27</v>
      </c>
      <c r="K620" t="s">
        <v>38</v>
      </c>
      <c r="L620" t="s">
        <v>28</v>
      </c>
      <c r="M620" t="s">
        <v>31</v>
      </c>
      <c r="N620">
        <v>4</v>
      </c>
    </row>
    <row r="621" spans="1:14" x14ac:dyDescent="0.25">
      <c r="A621">
        <v>620</v>
      </c>
      <c r="B621">
        <v>33</v>
      </c>
      <c r="C621" t="s">
        <v>14</v>
      </c>
      <c r="D621" t="s">
        <v>36</v>
      </c>
      <c r="E621" t="s">
        <v>16</v>
      </c>
      <c r="F621" t="s">
        <v>30</v>
      </c>
      <c r="G621" s="4">
        <v>17</v>
      </c>
      <c r="H621" t="s">
        <v>40</v>
      </c>
      <c r="I621" s="4">
        <v>533</v>
      </c>
      <c r="J621" t="s">
        <v>45</v>
      </c>
      <c r="K621" t="s">
        <v>38</v>
      </c>
      <c r="L621" t="s">
        <v>28</v>
      </c>
      <c r="M621" t="s">
        <v>22</v>
      </c>
      <c r="N621">
        <v>4</v>
      </c>
    </row>
    <row r="622" spans="1:14" x14ac:dyDescent="0.25">
      <c r="A622">
        <v>621</v>
      </c>
      <c r="B622">
        <v>18</v>
      </c>
      <c r="C622" t="s">
        <v>23</v>
      </c>
      <c r="D622" t="s">
        <v>32</v>
      </c>
      <c r="E622" t="s">
        <v>16</v>
      </c>
      <c r="F622" t="s">
        <v>30</v>
      </c>
      <c r="G622" s="4">
        <v>14</v>
      </c>
      <c r="H622" t="s">
        <v>43</v>
      </c>
      <c r="I622" s="4">
        <v>1072</v>
      </c>
      <c r="J622" t="s">
        <v>19</v>
      </c>
      <c r="K622" t="s">
        <v>48</v>
      </c>
      <c r="L622" t="s">
        <v>28</v>
      </c>
      <c r="M622" t="s">
        <v>22</v>
      </c>
      <c r="N622">
        <v>2</v>
      </c>
    </row>
    <row r="623" spans="1:14" x14ac:dyDescent="0.25">
      <c r="A623">
        <v>622</v>
      </c>
      <c r="B623">
        <v>28</v>
      </c>
      <c r="C623" t="s">
        <v>23</v>
      </c>
      <c r="D623" t="s">
        <v>32</v>
      </c>
      <c r="E623" t="s">
        <v>24</v>
      </c>
      <c r="F623" t="s">
        <v>42</v>
      </c>
      <c r="G623" s="4">
        <v>27</v>
      </c>
      <c r="H623" t="s">
        <v>46</v>
      </c>
      <c r="I623" s="4">
        <v>1628</v>
      </c>
      <c r="J623" t="s">
        <v>19</v>
      </c>
      <c r="K623" t="s">
        <v>48</v>
      </c>
      <c r="L623" t="s">
        <v>21</v>
      </c>
      <c r="M623" t="s">
        <v>22</v>
      </c>
      <c r="N623">
        <v>2</v>
      </c>
    </row>
    <row r="624" spans="1:14" x14ac:dyDescent="0.25">
      <c r="A624">
        <v>623</v>
      </c>
      <c r="B624">
        <v>28</v>
      </c>
      <c r="C624" t="s">
        <v>23</v>
      </c>
      <c r="D624" t="s">
        <v>36</v>
      </c>
      <c r="E624" t="s">
        <v>24</v>
      </c>
      <c r="F624" t="s">
        <v>17</v>
      </c>
      <c r="G624" s="4">
        <v>12</v>
      </c>
      <c r="H624" t="s">
        <v>47</v>
      </c>
      <c r="I624" s="4">
        <v>1928</v>
      </c>
      <c r="J624" t="s">
        <v>41</v>
      </c>
      <c r="K624" t="s">
        <v>34</v>
      </c>
      <c r="L624" t="s">
        <v>28</v>
      </c>
      <c r="M624" t="s">
        <v>31</v>
      </c>
      <c r="N624">
        <v>3</v>
      </c>
    </row>
    <row r="625" spans="1:14" x14ac:dyDescent="0.25">
      <c r="A625">
        <v>624</v>
      </c>
      <c r="B625">
        <v>30</v>
      </c>
      <c r="C625" t="s">
        <v>23</v>
      </c>
      <c r="D625" t="s">
        <v>15</v>
      </c>
      <c r="E625" t="s">
        <v>24</v>
      </c>
      <c r="F625" t="s">
        <v>25</v>
      </c>
      <c r="G625" s="4">
        <v>26</v>
      </c>
      <c r="H625" t="s">
        <v>46</v>
      </c>
      <c r="I625" s="4">
        <v>1519</v>
      </c>
      <c r="J625" t="s">
        <v>44</v>
      </c>
      <c r="K625" t="s">
        <v>20</v>
      </c>
      <c r="L625" t="s">
        <v>28</v>
      </c>
      <c r="M625" t="s">
        <v>31</v>
      </c>
      <c r="N625">
        <v>2</v>
      </c>
    </row>
    <row r="626" spans="1:14" x14ac:dyDescent="0.25">
      <c r="A626">
        <v>625</v>
      </c>
      <c r="B626">
        <v>22</v>
      </c>
      <c r="C626" t="s">
        <v>29</v>
      </c>
      <c r="D626" t="s">
        <v>15</v>
      </c>
      <c r="E626" t="s">
        <v>39</v>
      </c>
      <c r="F626" t="s">
        <v>33</v>
      </c>
      <c r="G626" s="4">
        <v>7</v>
      </c>
      <c r="H626" t="s">
        <v>34</v>
      </c>
      <c r="I626" s="4">
        <v>1299</v>
      </c>
      <c r="J626" t="s">
        <v>41</v>
      </c>
      <c r="K626" t="s">
        <v>38</v>
      </c>
      <c r="L626" t="s">
        <v>28</v>
      </c>
      <c r="M626" t="s">
        <v>31</v>
      </c>
      <c r="N626">
        <v>5</v>
      </c>
    </row>
    <row r="627" spans="1:14" x14ac:dyDescent="0.25">
      <c r="A627">
        <v>626</v>
      </c>
      <c r="B627">
        <v>29</v>
      </c>
      <c r="C627" t="s">
        <v>23</v>
      </c>
      <c r="D627" t="s">
        <v>32</v>
      </c>
      <c r="E627" t="s">
        <v>24</v>
      </c>
      <c r="F627" t="s">
        <v>30</v>
      </c>
      <c r="G627" s="4">
        <v>18</v>
      </c>
      <c r="H627" t="s">
        <v>26</v>
      </c>
      <c r="I627" s="4">
        <v>1158</v>
      </c>
      <c r="J627" t="s">
        <v>44</v>
      </c>
      <c r="K627" t="s">
        <v>34</v>
      </c>
      <c r="L627" t="s">
        <v>28</v>
      </c>
      <c r="M627" t="s">
        <v>22</v>
      </c>
      <c r="N627">
        <v>3</v>
      </c>
    </row>
    <row r="628" spans="1:14" x14ac:dyDescent="0.25">
      <c r="A628">
        <v>627</v>
      </c>
      <c r="B628">
        <v>35</v>
      </c>
      <c r="C628" t="s">
        <v>14</v>
      </c>
      <c r="D628" t="s">
        <v>15</v>
      </c>
      <c r="E628" t="s">
        <v>16</v>
      </c>
      <c r="F628" t="s">
        <v>33</v>
      </c>
      <c r="G628" s="4">
        <v>26</v>
      </c>
      <c r="H628" t="s">
        <v>40</v>
      </c>
      <c r="I628" s="4">
        <v>2607</v>
      </c>
      <c r="J628" t="s">
        <v>44</v>
      </c>
      <c r="K628" t="s">
        <v>48</v>
      </c>
      <c r="L628" t="s">
        <v>28</v>
      </c>
      <c r="M628" t="s">
        <v>31</v>
      </c>
      <c r="N628">
        <v>4</v>
      </c>
    </row>
    <row r="629" spans="1:14" x14ac:dyDescent="0.25">
      <c r="A629">
        <v>628</v>
      </c>
      <c r="B629">
        <v>23</v>
      </c>
      <c r="C629" t="s">
        <v>14</v>
      </c>
      <c r="D629" t="s">
        <v>32</v>
      </c>
      <c r="E629" t="s">
        <v>16</v>
      </c>
      <c r="F629" t="s">
        <v>42</v>
      </c>
      <c r="G629" s="4">
        <v>27</v>
      </c>
      <c r="H629" t="s">
        <v>34</v>
      </c>
      <c r="I629" s="4">
        <v>1913</v>
      </c>
      <c r="J629" t="s">
        <v>49</v>
      </c>
      <c r="K629" t="s">
        <v>20</v>
      </c>
      <c r="L629" t="s">
        <v>28</v>
      </c>
      <c r="M629" t="s">
        <v>22</v>
      </c>
      <c r="N629">
        <v>4</v>
      </c>
    </row>
    <row r="630" spans="1:14" x14ac:dyDescent="0.25">
      <c r="A630">
        <v>629</v>
      </c>
      <c r="B630">
        <v>22</v>
      </c>
      <c r="C630" t="s">
        <v>14</v>
      </c>
      <c r="D630" t="s">
        <v>32</v>
      </c>
      <c r="E630" t="s">
        <v>16</v>
      </c>
      <c r="F630" t="s">
        <v>25</v>
      </c>
      <c r="G630" s="4">
        <v>8</v>
      </c>
      <c r="H630" t="s">
        <v>46</v>
      </c>
      <c r="I630" s="4">
        <v>1431</v>
      </c>
      <c r="J630" t="s">
        <v>27</v>
      </c>
      <c r="K630" t="s">
        <v>48</v>
      </c>
      <c r="L630" t="s">
        <v>21</v>
      </c>
      <c r="M630" t="s">
        <v>31</v>
      </c>
      <c r="N630">
        <v>1</v>
      </c>
    </row>
    <row r="631" spans="1:14" x14ac:dyDescent="0.25">
      <c r="A631">
        <v>630</v>
      </c>
      <c r="B631">
        <v>20</v>
      </c>
      <c r="C631" t="s">
        <v>29</v>
      </c>
      <c r="D631" t="s">
        <v>15</v>
      </c>
      <c r="E631" t="s">
        <v>39</v>
      </c>
      <c r="F631" t="s">
        <v>17</v>
      </c>
      <c r="G631" s="4">
        <v>12</v>
      </c>
      <c r="H631" t="s">
        <v>18</v>
      </c>
      <c r="I631" s="4">
        <v>2040</v>
      </c>
      <c r="J631" t="s">
        <v>45</v>
      </c>
      <c r="K631" t="s">
        <v>34</v>
      </c>
      <c r="L631" t="s">
        <v>21</v>
      </c>
      <c r="M631" t="s">
        <v>31</v>
      </c>
      <c r="N631">
        <v>1</v>
      </c>
    </row>
    <row r="632" spans="1:14" x14ac:dyDescent="0.25">
      <c r="A632">
        <v>631</v>
      </c>
      <c r="B632">
        <v>22</v>
      </c>
      <c r="C632" t="s">
        <v>23</v>
      </c>
      <c r="D632" t="s">
        <v>36</v>
      </c>
      <c r="E632" t="s">
        <v>39</v>
      </c>
      <c r="F632" t="s">
        <v>42</v>
      </c>
      <c r="G632" s="4">
        <v>5</v>
      </c>
      <c r="H632" t="s">
        <v>46</v>
      </c>
      <c r="I632" s="4">
        <v>332</v>
      </c>
      <c r="J632" t="s">
        <v>41</v>
      </c>
      <c r="K632" t="s">
        <v>34</v>
      </c>
      <c r="L632" t="s">
        <v>21</v>
      </c>
      <c r="M632" t="s">
        <v>31</v>
      </c>
      <c r="N632">
        <v>4</v>
      </c>
    </row>
    <row r="633" spans="1:14" x14ac:dyDescent="0.25">
      <c r="A633">
        <v>632</v>
      </c>
      <c r="B633">
        <v>28</v>
      </c>
      <c r="C633" t="s">
        <v>14</v>
      </c>
      <c r="D633" t="s">
        <v>15</v>
      </c>
      <c r="E633" t="s">
        <v>24</v>
      </c>
      <c r="F633" t="s">
        <v>30</v>
      </c>
      <c r="G633" s="4">
        <v>28</v>
      </c>
      <c r="H633" t="s">
        <v>34</v>
      </c>
      <c r="I633" s="4">
        <v>2331</v>
      </c>
      <c r="J633" t="s">
        <v>41</v>
      </c>
      <c r="K633" t="s">
        <v>48</v>
      </c>
      <c r="L633" t="s">
        <v>28</v>
      </c>
      <c r="M633" t="s">
        <v>22</v>
      </c>
      <c r="N633">
        <v>2</v>
      </c>
    </row>
    <row r="634" spans="1:14" x14ac:dyDescent="0.25">
      <c r="A634">
        <v>633</v>
      </c>
      <c r="B634">
        <v>30</v>
      </c>
      <c r="C634" t="s">
        <v>29</v>
      </c>
      <c r="D634" t="s">
        <v>15</v>
      </c>
      <c r="E634" t="s">
        <v>16</v>
      </c>
      <c r="F634" t="s">
        <v>25</v>
      </c>
      <c r="G634" s="4">
        <v>13</v>
      </c>
      <c r="H634" t="s">
        <v>37</v>
      </c>
      <c r="I634" s="4">
        <v>729</v>
      </c>
      <c r="J634" t="s">
        <v>45</v>
      </c>
      <c r="K634" t="s">
        <v>20</v>
      </c>
      <c r="L634" t="s">
        <v>28</v>
      </c>
      <c r="M634" t="s">
        <v>22</v>
      </c>
      <c r="N634">
        <v>2</v>
      </c>
    </row>
    <row r="635" spans="1:14" x14ac:dyDescent="0.25">
      <c r="A635">
        <v>634</v>
      </c>
      <c r="B635">
        <v>21</v>
      </c>
      <c r="C635" t="s">
        <v>23</v>
      </c>
      <c r="D635" t="s">
        <v>32</v>
      </c>
      <c r="E635" t="s">
        <v>24</v>
      </c>
      <c r="F635" t="s">
        <v>45</v>
      </c>
      <c r="G635" s="4">
        <v>14</v>
      </c>
      <c r="H635" t="s">
        <v>37</v>
      </c>
      <c r="I635" s="4">
        <v>2010</v>
      </c>
      <c r="J635" t="s">
        <v>50</v>
      </c>
      <c r="K635" t="s">
        <v>48</v>
      </c>
      <c r="L635" t="s">
        <v>28</v>
      </c>
      <c r="M635" t="s">
        <v>22</v>
      </c>
      <c r="N635">
        <v>4</v>
      </c>
    </row>
    <row r="636" spans="1:14" x14ac:dyDescent="0.25">
      <c r="A636">
        <v>635</v>
      </c>
      <c r="B636">
        <v>33</v>
      </c>
      <c r="C636" t="s">
        <v>29</v>
      </c>
      <c r="D636" t="s">
        <v>36</v>
      </c>
      <c r="E636" t="s">
        <v>24</v>
      </c>
      <c r="F636" t="s">
        <v>42</v>
      </c>
      <c r="G636" s="4">
        <v>19</v>
      </c>
      <c r="H636" t="s">
        <v>18</v>
      </c>
      <c r="I636" s="4">
        <v>1589</v>
      </c>
      <c r="J636" t="s">
        <v>45</v>
      </c>
      <c r="K636" t="s">
        <v>34</v>
      </c>
      <c r="L636" t="s">
        <v>21</v>
      </c>
      <c r="M636" t="s">
        <v>31</v>
      </c>
      <c r="N636">
        <v>4</v>
      </c>
    </row>
    <row r="637" spans="1:14" x14ac:dyDescent="0.25">
      <c r="A637">
        <v>636</v>
      </c>
      <c r="B637">
        <v>38</v>
      </c>
      <c r="C637" t="s">
        <v>23</v>
      </c>
      <c r="D637" t="s">
        <v>32</v>
      </c>
      <c r="E637" t="s">
        <v>39</v>
      </c>
      <c r="F637" t="s">
        <v>17</v>
      </c>
      <c r="G637" s="4">
        <v>18</v>
      </c>
      <c r="H637" t="s">
        <v>40</v>
      </c>
      <c r="I637" s="4">
        <v>380</v>
      </c>
      <c r="J637" t="s">
        <v>44</v>
      </c>
      <c r="K637" t="s">
        <v>20</v>
      </c>
      <c r="L637" t="s">
        <v>21</v>
      </c>
      <c r="M637" t="s">
        <v>31</v>
      </c>
      <c r="N637">
        <v>1</v>
      </c>
    </row>
    <row r="638" spans="1:14" x14ac:dyDescent="0.25">
      <c r="A638">
        <v>637</v>
      </c>
      <c r="B638">
        <v>32</v>
      </c>
      <c r="C638" t="s">
        <v>29</v>
      </c>
      <c r="D638" t="s">
        <v>15</v>
      </c>
      <c r="E638" t="s">
        <v>16</v>
      </c>
      <c r="F638" t="s">
        <v>17</v>
      </c>
      <c r="G638" s="4">
        <v>18</v>
      </c>
      <c r="H638" t="s">
        <v>46</v>
      </c>
      <c r="I638" s="4">
        <v>324</v>
      </c>
      <c r="J638" t="s">
        <v>27</v>
      </c>
      <c r="K638" t="s">
        <v>20</v>
      </c>
      <c r="L638" t="s">
        <v>28</v>
      </c>
      <c r="M638" t="s">
        <v>22</v>
      </c>
      <c r="N638">
        <v>4</v>
      </c>
    </row>
    <row r="639" spans="1:14" x14ac:dyDescent="0.25">
      <c r="A639">
        <v>638</v>
      </c>
      <c r="B639">
        <v>35</v>
      </c>
      <c r="C639" t="s">
        <v>14</v>
      </c>
      <c r="D639" t="s">
        <v>36</v>
      </c>
      <c r="E639" t="s">
        <v>39</v>
      </c>
      <c r="F639" t="s">
        <v>42</v>
      </c>
      <c r="G639" s="4">
        <v>7</v>
      </c>
      <c r="H639" t="s">
        <v>18</v>
      </c>
      <c r="I639" s="4">
        <v>184</v>
      </c>
      <c r="J639" t="s">
        <v>49</v>
      </c>
      <c r="K639" t="s">
        <v>34</v>
      </c>
      <c r="L639" t="s">
        <v>28</v>
      </c>
      <c r="M639" t="s">
        <v>31</v>
      </c>
      <c r="N639">
        <v>5</v>
      </c>
    </row>
    <row r="640" spans="1:14" x14ac:dyDescent="0.25">
      <c r="A640">
        <v>639</v>
      </c>
      <c r="B640">
        <v>36</v>
      </c>
      <c r="C640" t="s">
        <v>14</v>
      </c>
      <c r="D640" t="s">
        <v>36</v>
      </c>
      <c r="E640" t="s">
        <v>24</v>
      </c>
      <c r="F640" t="s">
        <v>42</v>
      </c>
      <c r="G640" s="4">
        <v>7</v>
      </c>
      <c r="H640" t="s">
        <v>37</v>
      </c>
      <c r="I640" s="4">
        <v>2062</v>
      </c>
      <c r="J640" t="s">
        <v>44</v>
      </c>
      <c r="K640" t="s">
        <v>20</v>
      </c>
      <c r="L640" t="s">
        <v>21</v>
      </c>
      <c r="M640" t="s">
        <v>22</v>
      </c>
      <c r="N640">
        <v>1</v>
      </c>
    </row>
    <row r="641" spans="1:14" x14ac:dyDescent="0.25">
      <c r="A641">
        <v>640</v>
      </c>
      <c r="B641">
        <v>31</v>
      </c>
      <c r="C641" t="s">
        <v>23</v>
      </c>
      <c r="D641" t="s">
        <v>36</v>
      </c>
      <c r="E641" t="s">
        <v>39</v>
      </c>
      <c r="F641" t="s">
        <v>17</v>
      </c>
      <c r="G641" s="4">
        <v>27</v>
      </c>
      <c r="H641" t="s">
        <v>43</v>
      </c>
      <c r="I641" s="4">
        <v>1219</v>
      </c>
      <c r="J641" t="s">
        <v>35</v>
      </c>
      <c r="K641" t="s">
        <v>34</v>
      </c>
      <c r="L641" t="s">
        <v>21</v>
      </c>
      <c r="M641" t="s">
        <v>22</v>
      </c>
      <c r="N641">
        <v>3</v>
      </c>
    </row>
    <row r="642" spans="1:14" x14ac:dyDescent="0.25">
      <c r="A642">
        <v>641</v>
      </c>
      <c r="B642">
        <v>23</v>
      </c>
      <c r="C642" t="s">
        <v>23</v>
      </c>
      <c r="D642" t="s">
        <v>15</v>
      </c>
      <c r="E642" t="s">
        <v>39</v>
      </c>
      <c r="F642" t="s">
        <v>45</v>
      </c>
      <c r="G642" s="4">
        <v>7</v>
      </c>
      <c r="H642" t="s">
        <v>47</v>
      </c>
      <c r="I642" s="4">
        <v>2474</v>
      </c>
      <c r="J642" t="s">
        <v>41</v>
      </c>
      <c r="K642" t="s">
        <v>20</v>
      </c>
      <c r="L642" t="s">
        <v>21</v>
      </c>
      <c r="M642" t="s">
        <v>22</v>
      </c>
      <c r="N642">
        <v>3</v>
      </c>
    </row>
    <row r="643" spans="1:14" x14ac:dyDescent="0.25">
      <c r="A643">
        <v>642</v>
      </c>
      <c r="B643">
        <v>23</v>
      </c>
      <c r="C643" t="s">
        <v>23</v>
      </c>
      <c r="D643" t="s">
        <v>32</v>
      </c>
      <c r="E643" t="s">
        <v>24</v>
      </c>
      <c r="F643" t="s">
        <v>17</v>
      </c>
      <c r="G643" s="4">
        <v>25</v>
      </c>
      <c r="H643" t="s">
        <v>43</v>
      </c>
      <c r="I643" s="4">
        <v>1954</v>
      </c>
      <c r="J643" t="s">
        <v>35</v>
      </c>
      <c r="K643" t="s">
        <v>34</v>
      </c>
      <c r="L643" t="s">
        <v>28</v>
      </c>
      <c r="M643" t="s">
        <v>31</v>
      </c>
      <c r="N643">
        <v>4</v>
      </c>
    </row>
    <row r="644" spans="1:14" x14ac:dyDescent="0.25">
      <c r="A644">
        <v>643</v>
      </c>
      <c r="B644">
        <v>20</v>
      </c>
      <c r="C644" t="s">
        <v>14</v>
      </c>
      <c r="D644" t="s">
        <v>15</v>
      </c>
      <c r="E644" t="s">
        <v>16</v>
      </c>
      <c r="F644" t="s">
        <v>17</v>
      </c>
      <c r="G644" s="4">
        <v>9</v>
      </c>
      <c r="H644" t="s">
        <v>40</v>
      </c>
      <c r="I644" s="4">
        <v>553</v>
      </c>
      <c r="J644" t="s">
        <v>41</v>
      </c>
      <c r="K644" t="s">
        <v>38</v>
      </c>
      <c r="L644" t="s">
        <v>28</v>
      </c>
      <c r="M644" t="s">
        <v>22</v>
      </c>
      <c r="N644">
        <v>1</v>
      </c>
    </row>
    <row r="645" spans="1:14" x14ac:dyDescent="0.25">
      <c r="A645">
        <v>644</v>
      </c>
      <c r="B645">
        <v>38</v>
      </c>
      <c r="C645" t="s">
        <v>14</v>
      </c>
      <c r="D645" t="s">
        <v>15</v>
      </c>
      <c r="E645" t="s">
        <v>39</v>
      </c>
      <c r="F645" t="s">
        <v>42</v>
      </c>
      <c r="G645" s="4">
        <v>12</v>
      </c>
      <c r="H645" t="s">
        <v>37</v>
      </c>
      <c r="I645" s="4">
        <v>1784</v>
      </c>
      <c r="J645" t="s">
        <v>49</v>
      </c>
      <c r="K645" t="s">
        <v>20</v>
      </c>
      <c r="L645" t="s">
        <v>21</v>
      </c>
      <c r="M645" t="s">
        <v>22</v>
      </c>
      <c r="N645">
        <v>5</v>
      </c>
    </row>
    <row r="646" spans="1:14" x14ac:dyDescent="0.25">
      <c r="A646">
        <v>645</v>
      </c>
      <c r="B646">
        <v>23</v>
      </c>
      <c r="C646" t="s">
        <v>29</v>
      </c>
      <c r="D646" t="s">
        <v>32</v>
      </c>
      <c r="E646" t="s">
        <v>16</v>
      </c>
      <c r="F646" t="s">
        <v>42</v>
      </c>
      <c r="G646" s="4">
        <v>9</v>
      </c>
      <c r="H646" t="s">
        <v>40</v>
      </c>
      <c r="I646" s="4">
        <v>2877</v>
      </c>
      <c r="J646" t="s">
        <v>27</v>
      </c>
      <c r="K646" t="s">
        <v>34</v>
      </c>
      <c r="L646" t="s">
        <v>28</v>
      </c>
      <c r="M646" t="s">
        <v>22</v>
      </c>
      <c r="N646">
        <v>4</v>
      </c>
    </row>
    <row r="647" spans="1:14" x14ac:dyDescent="0.25">
      <c r="A647">
        <v>646</v>
      </c>
      <c r="B647">
        <v>28</v>
      </c>
      <c r="C647" t="s">
        <v>29</v>
      </c>
      <c r="D647" t="s">
        <v>32</v>
      </c>
      <c r="E647" t="s">
        <v>24</v>
      </c>
      <c r="F647" t="s">
        <v>45</v>
      </c>
      <c r="G647" s="4">
        <v>5</v>
      </c>
      <c r="H647" t="s">
        <v>46</v>
      </c>
      <c r="I647" s="4">
        <v>420</v>
      </c>
      <c r="J647" t="s">
        <v>41</v>
      </c>
      <c r="K647" t="s">
        <v>20</v>
      </c>
      <c r="L647" t="s">
        <v>28</v>
      </c>
      <c r="M647" t="s">
        <v>31</v>
      </c>
      <c r="N647">
        <v>4</v>
      </c>
    </row>
    <row r="648" spans="1:14" x14ac:dyDescent="0.25">
      <c r="A648">
        <v>647</v>
      </c>
      <c r="B648">
        <v>34</v>
      </c>
      <c r="C648" t="s">
        <v>23</v>
      </c>
      <c r="D648" t="s">
        <v>32</v>
      </c>
      <c r="E648" t="s">
        <v>16</v>
      </c>
      <c r="F648" t="s">
        <v>17</v>
      </c>
      <c r="G648" s="4">
        <v>23</v>
      </c>
      <c r="H648" t="s">
        <v>47</v>
      </c>
      <c r="I648" s="4">
        <v>2968</v>
      </c>
      <c r="J648" t="s">
        <v>41</v>
      </c>
      <c r="K648" t="s">
        <v>20</v>
      </c>
      <c r="L648" t="s">
        <v>28</v>
      </c>
      <c r="M648" t="s">
        <v>22</v>
      </c>
      <c r="N648">
        <v>5</v>
      </c>
    </row>
    <row r="649" spans="1:14" x14ac:dyDescent="0.25">
      <c r="A649">
        <v>648</v>
      </c>
      <c r="B649">
        <v>26</v>
      </c>
      <c r="C649" t="s">
        <v>14</v>
      </c>
      <c r="D649" t="s">
        <v>32</v>
      </c>
      <c r="E649" t="s">
        <v>24</v>
      </c>
      <c r="F649" t="s">
        <v>17</v>
      </c>
      <c r="G649" s="4">
        <v>25</v>
      </c>
      <c r="H649" t="s">
        <v>34</v>
      </c>
      <c r="I649" s="4">
        <v>1708</v>
      </c>
      <c r="J649" t="s">
        <v>49</v>
      </c>
      <c r="K649" t="s">
        <v>20</v>
      </c>
      <c r="L649" t="s">
        <v>21</v>
      </c>
      <c r="M649" t="s">
        <v>22</v>
      </c>
      <c r="N649">
        <v>4</v>
      </c>
    </row>
    <row r="650" spans="1:14" x14ac:dyDescent="0.25">
      <c r="A650">
        <v>649</v>
      </c>
      <c r="B650">
        <v>27</v>
      </c>
      <c r="C650" t="s">
        <v>29</v>
      </c>
      <c r="D650" t="s">
        <v>32</v>
      </c>
      <c r="E650" t="s">
        <v>16</v>
      </c>
      <c r="F650" t="s">
        <v>45</v>
      </c>
      <c r="G650" s="4">
        <v>28</v>
      </c>
      <c r="H650" t="s">
        <v>40</v>
      </c>
      <c r="I650" s="4">
        <v>787</v>
      </c>
      <c r="J650" t="s">
        <v>50</v>
      </c>
      <c r="K650" t="s">
        <v>20</v>
      </c>
      <c r="L650" t="s">
        <v>21</v>
      </c>
      <c r="M650" t="s">
        <v>31</v>
      </c>
      <c r="N650">
        <v>4</v>
      </c>
    </row>
    <row r="651" spans="1:14" x14ac:dyDescent="0.25">
      <c r="A651">
        <v>650</v>
      </c>
      <c r="B651">
        <v>40</v>
      </c>
      <c r="C651" t="s">
        <v>29</v>
      </c>
      <c r="D651" t="s">
        <v>15</v>
      </c>
      <c r="E651" t="s">
        <v>24</v>
      </c>
      <c r="F651" t="s">
        <v>25</v>
      </c>
      <c r="G651" s="4">
        <v>17</v>
      </c>
      <c r="H651" t="s">
        <v>46</v>
      </c>
      <c r="I651" s="4">
        <v>1707</v>
      </c>
      <c r="J651" t="s">
        <v>19</v>
      </c>
      <c r="K651" t="s">
        <v>20</v>
      </c>
      <c r="L651" t="s">
        <v>21</v>
      </c>
      <c r="M651" t="s">
        <v>22</v>
      </c>
      <c r="N651">
        <v>3</v>
      </c>
    </row>
    <row r="652" spans="1:14" x14ac:dyDescent="0.25">
      <c r="A652">
        <v>651</v>
      </c>
      <c r="B652">
        <v>24</v>
      </c>
      <c r="C652" t="s">
        <v>14</v>
      </c>
      <c r="D652" t="s">
        <v>32</v>
      </c>
      <c r="E652" t="s">
        <v>39</v>
      </c>
      <c r="F652" t="s">
        <v>30</v>
      </c>
      <c r="G652" s="4">
        <v>10</v>
      </c>
      <c r="H652" t="s">
        <v>40</v>
      </c>
      <c r="I652" s="4">
        <v>2481</v>
      </c>
      <c r="J652" t="s">
        <v>27</v>
      </c>
      <c r="K652" t="s">
        <v>48</v>
      </c>
      <c r="L652" t="s">
        <v>21</v>
      </c>
      <c r="M652" t="s">
        <v>31</v>
      </c>
      <c r="N652">
        <v>4</v>
      </c>
    </row>
    <row r="653" spans="1:14" x14ac:dyDescent="0.25">
      <c r="A653">
        <v>652</v>
      </c>
      <c r="B653">
        <v>26</v>
      </c>
      <c r="C653" t="s">
        <v>14</v>
      </c>
      <c r="D653" t="s">
        <v>36</v>
      </c>
      <c r="E653" t="s">
        <v>16</v>
      </c>
      <c r="F653" t="s">
        <v>33</v>
      </c>
      <c r="G653" s="4">
        <v>16</v>
      </c>
      <c r="H653" t="s">
        <v>34</v>
      </c>
      <c r="I653" s="4">
        <v>2772</v>
      </c>
      <c r="J653" t="s">
        <v>45</v>
      </c>
      <c r="K653" t="s">
        <v>48</v>
      </c>
      <c r="L653" t="s">
        <v>21</v>
      </c>
      <c r="M653" t="s">
        <v>22</v>
      </c>
      <c r="N653">
        <v>2</v>
      </c>
    </row>
    <row r="654" spans="1:14" x14ac:dyDescent="0.25">
      <c r="A654">
        <v>653</v>
      </c>
      <c r="B654">
        <v>35</v>
      </c>
      <c r="C654" t="s">
        <v>29</v>
      </c>
      <c r="D654" t="s">
        <v>32</v>
      </c>
      <c r="E654" t="s">
        <v>16</v>
      </c>
      <c r="F654" t="s">
        <v>45</v>
      </c>
      <c r="G654" s="4">
        <v>12</v>
      </c>
      <c r="H654" t="s">
        <v>46</v>
      </c>
      <c r="I654" s="4">
        <v>1992</v>
      </c>
      <c r="J654" t="s">
        <v>44</v>
      </c>
      <c r="K654" t="s">
        <v>48</v>
      </c>
      <c r="L654" t="s">
        <v>21</v>
      </c>
      <c r="M654" t="s">
        <v>31</v>
      </c>
      <c r="N654">
        <v>3</v>
      </c>
    </row>
    <row r="655" spans="1:14" x14ac:dyDescent="0.25">
      <c r="A655">
        <v>654</v>
      </c>
      <c r="B655">
        <v>32</v>
      </c>
      <c r="C655" t="s">
        <v>23</v>
      </c>
      <c r="D655" t="s">
        <v>36</v>
      </c>
      <c r="E655" t="s">
        <v>16</v>
      </c>
      <c r="F655" t="s">
        <v>45</v>
      </c>
      <c r="G655" s="4">
        <v>29</v>
      </c>
      <c r="H655" t="s">
        <v>47</v>
      </c>
      <c r="I655" s="4">
        <v>454</v>
      </c>
      <c r="J655" t="s">
        <v>19</v>
      </c>
      <c r="K655" t="s">
        <v>38</v>
      </c>
      <c r="L655" t="s">
        <v>21</v>
      </c>
      <c r="M655" t="s">
        <v>22</v>
      </c>
      <c r="N655">
        <v>1</v>
      </c>
    </row>
    <row r="656" spans="1:14" x14ac:dyDescent="0.25">
      <c r="A656">
        <v>655</v>
      </c>
      <c r="B656">
        <v>29</v>
      </c>
      <c r="C656" t="s">
        <v>23</v>
      </c>
      <c r="D656" t="s">
        <v>32</v>
      </c>
      <c r="E656" t="s">
        <v>24</v>
      </c>
      <c r="F656" t="s">
        <v>42</v>
      </c>
      <c r="G656" s="4">
        <v>10</v>
      </c>
      <c r="H656" t="s">
        <v>18</v>
      </c>
      <c r="I656" s="4">
        <v>2983</v>
      </c>
      <c r="J656" t="s">
        <v>44</v>
      </c>
      <c r="K656" t="s">
        <v>34</v>
      </c>
      <c r="L656" t="s">
        <v>28</v>
      </c>
      <c r="M656" t="s">
        <v>22</v>
      </c>
      <c r="N656">
        <v>3</v>
      </c>
    </row>
    <row r="657" spans="1:14" x14ac:dyDescent="0.25">
      <c r="A657">
        <v>656</v>
      </c>
      <c r="B657">
        <v>21</v>
      </c>
      <c r="C657" t="s">
        <v>14</v>
      </c>
      <c r="D657" t="s">
        <v>15</v>
      </c>
      <c r="E657" t="s">
        <v>39</v>
      </c>
      <c r="F657" t="s">
        <v>30</v>
      </c>
      <c r="G657" s="4">
        <v>11</v>
      </c>
      <c r="H657" t="s">
        <v>46</v>
      </c>
      <c r="I657" s="4">
        <v>1798</v>
      </c>
      <c r="J657" t="s">
        <v>44</v>
      </c>
      <c r="K657" t="s">
        <v>48</v>
      </c>
      <c r="L657" t="s">
        <v>28</v>
      </c>
      <c r="M657" t="s">
        <v>31</v>
      </c>
      <c r="N657">
        <v>4</v>
      </c>
    </row>
    <row r="658" spans="1:14" x14ac:dyDescent="0.25">
      <c r="A658">
        <v>657</v>
      </c>
      <c r="B658">
        <v>40</v>
      </c>
      <c r="C658" t="s">
        <v>23</v>
      </c>
      <c r="D658" t="s">
        <v>36</v>
      </c>
      <c r="E658" t="s">
        <v>16</v>
      </c>
      <c r="F658" t="s">
        <v>25</v>
      </c>
      <c r="G658" s="4">
        <v>29</v>
      </c>
      <c r="H658" t="s">
        <v>26</v>
      </c>
      <c r="I658" s="4">
        <v>1699</v>
      </c>
      <c r="J658" t="s">
        <v>27</v>
      </c>
      <c r="K658" t="s">
        <v>38</v>
      </c>
      <c r="L658" t="s">
        <v>28</v>
      </c>
      <c r="M658" t="s">
        <v>31</v>
      </c>
      <c r="N658">
        <v>3</v>
      </c>
    </row>
    <row r="659" spans="1:14" x14ac:dyDescent="0.25">
      <c r="A659">
        <v>658</v>
      </c>
      <c r="B659">
        <v>31</v>
      </c>
      <c r="C659" t="s">
        <v>14</v>
      </c>
      <c r="D659" t="s">
        <v>32</v>
      </c>
      <c r="E659" t="s">
        <v>16</v>
      </c>
      <c r="F659" t="s">
        <v>33</v>
      </c>
      <c r="G659" s="4">
        <v>19</v>
      </c>
      <c r="H659" t="s">
        <v>18</v>
      </c>
      <c r="I659" s="4">
        <v>2114</v>
      </c>
      <c r="J659" t="s">
        <v>19</v>
      </c>
      <c r="K659" t="s">
        <v>34</v>
      </c>
      <c r="L659" t="s">
        <v>28</v>
      </c>
      <c r="M659" t="s">
        <v>31</v>
      </c>
      <c r="N659">
        <v>3</v>
      </c>
    </row>
    <row r="660" spans="1:14" x14ac:dyDescent="0.25">
      <c r="A660">
        <v>659</v>
      </c>
      <c r="B660">
        <v>23</v>
      </c>
      <c r="C660" t="s">
        <v>14</v>
      </c>
      <c r="D660" t="s">
        <v>36</v>
      </c>
      <c r="E660" t="s">
        <v>24</v>
      </c>
      <c r="F660" t="s">
        <v>25</v>
      </c>
      <c r="G660" s="4">
        <v>18</v>
      </c>
      <c r="H660" t="s">
        <v>47</v>
      </c>
      <c r="I660" s="4">
        <v>251</v>
      </c>
      <c r="J660" t="s">
        <v>35</v>
      </c>
      <c r="K660" t="s">
        <v>20</v>
      </c>
      <c r="L660" t="s">
        <v>28</v>
      </c>
      <c r="M660" t="s">
        <v>31</v>
      </c>
      <c r="N660">
        <v>4</v>
      </c>
    </row>
    <row r="661" spans="1:14" x14ac:dyDescent="0.25">
      <c r="A661">
        <v>660</v>
      </c>
      <c r="B661">
        <v>28</v>
      </c>
      <c r="C661" t="s">
        <v>23</v>
      </c>
      <c r="D661" t="s">
        <v>36</v>
      </c>
      <c r="E661" t="s">
        <v>16</v>
      </c>
      <c r="F661" t="s">
        <v>17</v>
      </c>
      <c r="G661" s="4">
        <v>16</v>
      </c>
      <c r="H661" t="s">
        <v>26</v>
      </c>
      <c r="I661" s="4">
        <v>32</v>
      </c>
      <c r="J661" t="s">
        <v>49</v>
      </c>
      <c r="K661" t="s">
        <v>38</v>
      </c>
      <c r="L661" t="s">
        <v>28</v>
      </c>
      <c r="M661" t="s">
        <v>31</v>
      </c>
      <c r="N661">
        <v>3</v>
      </c>
    </row>
    <row r="662" spans="1:14" x14ac:dyDescent="0.25">
      <c r="A662">
        <v>661</v>
      </c>
      <c r="B662">
        <v>38</v>
      </c>
      <c r="C662" t="s">
        <v>14</v>
      </c>
      <c r="D662" t="s">
        <v>15</v>
      </c>
      <c r="E662" t="s">
        <v>24</v>
      </c>
      <c r="F662" t="s">
        <v>30</v>
      </c>
      <c r="G662" s="4">
        <v>17</v>
      </c>
      <c r="H662" t="s">
        <v>26</v>
      </c>
      <c r="I662" s="4">
        <v>808</v>
      </c>
      <c r="J662" t="s">
        <v>44</v>
      </c>
      <c r="K662" t="s">
        <v>34</v>
      </c>
      <c r="L662" t="s">
        <v>21</v>
      </c>
      <c r="M662" t="s">
        <v>22</v>
      </c>
      <c r="N662">
        <v>3</v>
      </c>
    </row>
    <row r="663" spans="1:14" x14ac:dyDescent="0.25">
      <c r="A663">
        <v>662</v>
      </c>
      <c r="B663">
        <v>34</v>
      </c>
      <c r="C663" t="s">
        <v>29</v>
      </c>
      <c r="D663" t="s">
        <v>36</v>
      </c>
      <c r="E663" t="s">
        <v>16</v>
      </c>
      <c r="F663" t="s">
        <v>33</v>
      </c>
      <c r="G663" s="4">
        <v>22</v>
      </c>
      <c r="H663" t="s">
        <v>47</v>
      </c>
      <c r="I663" s="4">
        <v>1278</v>
      </c>
      <c r="J663" t="s">
        <v>35</v>
      </c>
      <c r="K663" t="s">
        <v>38</v>
      </c>
      <c r="L663" t="s">
        <v>28</v>
      </c>
      <c r="M663" t="s">
        <v>31</v>
      </c>
      <c r="N663">
        <v>5</v>
      </c>
    </row>
    <row r="664" spans="1:14" x14ac:dyDescent="0.25">
      <c r="A664">
        <v>663</v>
      </c>
      <c r="B664">
        <v>34</v>
      </c>
      <c r="C664" t="s">
        <v>29</v>
      </c>
      <c r="D664" t="s">
        <v>32</v>
      </c>
      <c r="E664" t="s">
        <v>24</v>
      </c>
      <c r="F664" t="s">
        <v>45</v>
      </c>
      <c r="G664" s="4">
        <v>8</v>
      </c>
      <c r="H664" t="s">
        <v>34</v>
      </c>
      <c r="I664" s="4">
        <v>2998</v>
      </c>
      <c r="J664" t="s">
        <v>19</v>
      </c>
      <c r="K664" t="s">
        <v>48</v>
      </c>
      <c r="L664" t="s">
        <v>21</v>
      </c>
      <c r="M664" t="s">
        <v>31</v>
      </c>
      <c r="N664">
        <v>1</v>
      </c>
    </row>
    <row r="665" spans="1:14" x14ac:dyDescent="0.25">
      <c r="A665">
        <v>664</v>
      </c>
      <c r="B665">
        <v>27</v>
      </c>
      <c r="C665" t="s">
        <v>29</v>
      </c>
      <c r="D665" t="s">
        <v>15</v>
      </c>
      <c r="E665" t="s">
        <v>24</v>
      </c>
      <c r="F665" t="s">
        <v>45</v>
      </c>
      <c r="G665" s="4">
        <v>23</v>
      </c>
      <c r="H665" t="s">
        <v>40</v>
      </c>
      <c r="I665" s="4">
        <v>21</v>
      </c>
      <c r="J665" t="s">
        <v>50</v>
      </c>
      <c r="K665" t="s">
        <v>34</v>
      </c>
      <c r="L665" t="s">
        <v>28</v>
      </c>
      <c r="M665" t="s">
        <v>22</v>
      </c>
      <c r="N665">
        <v>4</v>
      </c>
    </row>
    <row r="666" spans="1:14" x14ac:dyDescent="0.25">
      <c r="A666">
        <v>665</v>
      </c>
      <c r="B666">
        <v>40</v>
      </c>
      <c r="C666" t="s">
        <v>14</v>
      </c>
      <c r="D666" t="s">
        <v>32</v>
      </c>
      <c r="E666" t="s">
        <v>24</v>
      </c>
      <c r="F666" t="s">
        <v>45</v>
      </c>
      <c r="G666" s="4">
        <v>17</v>
      </c>
      <c r="H666" t="s">
        <v>40</v>
      </c>
      <c r="I666" s="4">
        <v>2128</v>
      </c>
      <c r="J666" t="s">
        <v>50</v>
      </c>
      <c r="K666" t="s">
        <v>20</v>
      </c>
      <c r="L666" t="s">
        <v>21</v>
      </c>
      <c r="M666" t="s">
        <v>22</v>
      </c>
      <c r="N666">
        <v>2</v>
      </c>
    </row>
    <row r="667" spans="1:14" x14ac:dyDescent="0.25">
      <c r="A667">
        <v>666</v>
      </c>
      <c r="B667">
        <v>40</v>
      </c>
      <c r="C667" t="s">
        <v>14</v>
      </c>
      <c r="D667" t="s">
        <v>15</v>
      </c>
      <c r="E667" t="s">
        <v>39</v>
      </c>
      <c r="F667" t="s">
        <v>25</v>
      </c>
      <c r="G667" s="4">
        <v>18</v>
      </c>
      <c r="H667" t="s">
        <v>43</v>
      </c>
      <c r="I667" s="4">
        <v>1687</v>
      </c>
      <c r="J667" t="s">
        <v>27</v>
      </c>
      <c r="K667" t="s">
        <v>20</v>
      </c>
      <c r="L667" t="s">
        <v>21</v>
      </c>
      <c r="M667" t="s">
        <v>31</v>
      </c>
      <c r="N667">
        <v>1</v>
      </c>
    </row>
    <row r="668" spans="1:14" x14ac:dyDescent="0.25">
      <c r="A668">
        <v>667</v>
      </c>
      <c r="B668">
        <v>39</v>
      </c>
      <c r="C668" t="s">
        <v>23</v>
      </c>
      <c r="D668" t="s">
        <v>36</v>
      </c>
      <c r="E668" t="s">
        <v>39</v>
      </c>
      <c r="F668" t="s">
        <v>30</v>
      </c>
      <c r="G668" s="4">
        <v>21</v>
      </c>
      <c r="H668" t="s">
        <v>43</v>
      </c>
      <c r="I668" s="4">
        <v>1649</v>
      </c>
      <c r="J668" t="s">
        <v>45</v>
      </c>
      <c r="K668" t="s">
        <v>20</v>
      </c>
      <c r="L668" t="s">
        <v>28</v>
      </c>
      <c r="M668" t="s">
        <v>31</v>
      </c>
      <c r="N668">
        <v>5</v>
      </c>
    </row>
    <row r="669" spans="1:14" x14ac:dyDescent="0.25">
      <c r="A669">
        <v>668</v>
      </c>
      <c r="B669">
        <v>23</v>
      </c>
      <c r="C669" t="s">
        <v>29</v>
      </c>
      <c r="D669" t="s">
        <v>36</v>
      </c>
      <c r="E669" t="s">
        <v>39</v>
      </c>
      <c r="F669" t="s">
        <v>25</v>
      </c>
      <c r="G669" s="4">
        <v>9</v>
      </c>
      <c r="H669" t="s">
        <v>18</v>
      </c>
      <c r="I669" s="4">
        <v>2071</v>
      </c>
      <c r="J669" t="s">
        <v>27</v>
      </c>
      <c r="K669" t="s">
        <v>20</v>
      </c>
      <c r="L669" t="s">
        <v>28</v>
      </c>
      <c r="M669" t="s">
        <v>22</v>
      </c>
      <c r="N669">
        <v>2</v>
      </c>
    </row>
    <row r="670" spans="1:14" x14ac:dyDescent="0.25">
      <c r="A670">
        <v>669</v>
      </c>
      <c r="B670">
        <v>23</v>
      </c>
      <c r="C670" t="s">
        <v>23</v>
      </c>
      <c r="D670" t="s">
        <v>32</v>
      </c>
      <c r="E670" t="s">
        <v>16</v>
      </c>
      <c r="F670" t="s">
        <v>33</v>
      </c>
      <c r="G670" s="4">
        <v>22</v>
      </c>
      <c r="H670" t="s">
        <v>34</v>
      </c>
      <c r="I670" s="4">
        <v>1512</v>
      </c>
      <c r="J670" t="s">
        <v>35</v>
      </c>
      <c r="K670" t="s">
        <v>48</v>
      </c>
      <c r="L670" t="s">
        <v>21</v>
      </c>
      <c r="M670" t="s">
        <v>22</v>
      </c>
      <c r="N670">
        <v>1</v>
      </c>
    </row>
    <row r="671" spans="1:14" x14ac:dyDescent="0.25">
      <c r="A671">
        <v>670</v>
      </c>
      <c r="B671">
        <v>29</v>
      </c>
      <c r="C671" t="s">
        <v>29</v>
      </c>
      <c r="D671" t="s">
        <v>32</v>
      </c>
      <c r="E671" t="s">
        <v>16</v>
      </c>
      <c r="F671" t="s">
        <v>25</v>
      </c>
      <c r="G671" s="4">
        <v>14</v>
      </c>
      <c r="H671" t="s">
        <v>37</v>
      </c>
      <c r="I671" s="4">
        <v>1533</v>
      </c>
      <c r="J671" t="s">
        <v>45</v>
      </c>
      <c r="K671" t="s">
        <v>48</v>
      </c>
      <c r="L671" t="s">
        <v>28</v>
      </c>
      <c r="M671" t="s">
        <v>31</v>
      </c>
      <c r="N671">
        <v>3</v>
      </c>
    </row>
    <row r="672" spans="1:14" x14ac:dyDescent="0.25">
      <c r="A672">
        <v>671</v>
      </c>
      <c r="B672">
        <v>24</v>
      </c>
      <c r="C672" t="s">
        <v>14</v>
      </c>
      <c r="D672" t="s">
        <v>36</v>
      </c>
      <c r="E672" t="s">
        <v>39</v>
      </c>
      <c r="F672" t="s">
        <v>33</v>
      </c>
      <c r="G672" s="4">
        <v>10</v>
      </c>
      <c r="H672" t="s">
        <v>47</v>
      </c>
      <c r="I672" s="4">
        <v>2002</v>
      </c>
      <c r="J672" t="s">
        <v>45</v>
      </c>
      <c r="K672" t="s">
        <v>20</v>
      </c>
      <c r="L672" t="s">
        <v>28</v>
      </c>
      <c r="M672" t="s">
        <v>31</v>
      </c>
      <c r="N672">
        <v>1</v>
      </c>
    </row>
    <row r="673" spans="1:14" x14ac:dyDescent="0.25">
      <c r="A673">
        <v>672</v>
      </c>
      <c r="B673">
        <v>28</v>
      </c>
      <c r="C673" t="s">
        <v>23</v>
      </c>
      <c r="D673" t="s">
        <v>36</v>
      </c>
      <c r="E673" t="s">
        <v>16</v>
      </c>
      <c r="F673" t="s">
        <v>25</v>
      </c>
      <c r="G673" s="4">
        <v>30</v>
      </c>
      <c r="H673" t="s">
        <v>43</v>
      </c>
      <c r="I673" s="4">
        <v>1545</v>
      </c>
      <c r="J673" t="s">
        <v>49</v>
      </c>
      <c r="K673" t="s">
        <v>20</v>
      </c>
      <c r="L673" t="s">
        <v>21</v>
      </c>
      <c r="M673" t="s">
        <v>31</v>
      </c>
      <c r="N673">
        <v>4</v>
      </c>
    </row>
    <row r="674" spans="1:14" x14ac:dyDescent="0.25">
      <c r="A674">
        <v>673</v>
      </c>
      <c r="B674">
        <v>20</v>
      </c>
      <c r="C674" t="s">
        <v>29</v>
      </c>
      <c r="D674" t="s">
        <v>32</v>
      </c>
      <c r="E674" t="s">
        <v>16</v>
      </c>
      <c r="F674" t="s">
        <v>42</v>
      </c>
      <c r="G674" s="4">
        <v>30</v>
      </c>
      <c r="H674" t="s">
        <v>34</v>
      </c>
      <c r="I674" s="4">
        <v>2559</v>
      </c>
      <c r="J674" t="s">
        <v>41</v>
      </c>
      <c r="K674" t="s">
        <v>20</v>
      </c>
      <c r="L674" t="s">
        <v>28</v>
      </c>
      <c r="M674" t="s">
        <v>22</v>
      </c>
      <c r="N674">
        <v>5</v>
      </c>
    </row>
    <row r="675" spans="1:14" x14ac:dyDescent="0.25">
      <c r="A675">
        <v>674</v>
      </c>
      <c r="B675">
        <v>23</v>
      </c>
      <c r="C675" t="s">
        <v>23</v>
      </c>
      <c r="D675" t="s">
        <v>36</v>
      </c>
      <c r="E675" t="s">
        <v>39</v>
      </c>
      <c r="F675" t="s">
        <v>45</v>
      </c>
      <c r="G675" s="4">
        <v>27</v>
      </c>
      <c r="H675" t="s">
        <v>18</v>
      </c>
      <c r="I675" s="4">
        <v>101</v>
      </c>
      <c r="J675" t="s">
        <v>19</v>
      </c>
      <c r="K675" t="s">
        <v>38</v>
      </c>
      <c r="L675" t="s">
        <v>21</v>
      </c>
      <c r="M675" t="s">
        <v>22</v>
      </c>
      <c r="N675">
        <v>5</v>
      </c>
    </row>
    <row r="676" spans="1:14" x14ac:dyDescent="0.25">
      <c r="A676">
        <v>675</v>
      </c>
      <c r="B676">
        <v>33</v>
      </c>
      <c r="C676" t="s">
        <v>23</v>
      </c>
      <c r="D676" t="s">
        <v>36</v>
      </c>
      <c r="E676" t="s">
        <v>16</v>
      </c>
      <c r="F676" t="s">
        <v>33</v>
      </c>
      <c r="G676" s="4">
        <v>21</v>
      </c>
      <c r="H676" t="s">
        <v>46</v>
      </c>
      <c r="I676" s="4">
        <v>76</v>
      </c>
      <c r="J676" t="s">
        <v>27</v>
      </c>
      <c r="K676" t="s">
        <v>38</v>
      </c>
      <c r="L676" t="s">
        <v>28</v>
      </c>
      <c r="M676" t="s">
        <v>22</v>
      </c>
      <c r="N676">
        <v>1</v>
      </c>
    </row>
    <row r="677" spans="1:14" x14ac:dyDescent="0.25">
      <c r="A677">
        <v>676</v>
      </c>
      <c r="B677">
        <v>35</v>
      </c>
      <c r="C677" t="s">
        <v>23</v>
      </c>
      <c r="D677" t="s">
        <v>15</v>
      </c>
      <c r="E677" t="s">
        <v>39</v>
      </c>
      <c r="F677" t="s">
        <v>33</v>
      </c>
      <c r="G677" s="4">
        <v>24</v>
      </c>
      <c r="H677" t="s">
        <v>34</v>
      </c>
      <c r="I677" s="4">
        <v>1312</v>
      </c>
      <c r="J677" t="s">
        <v>45</v>
      </c>
      <c r="K677" t="s">
        <v>38</v>
      </c>
      <c r="L677" t="s">
        <v>28</v>
      </c>
      <c r="M677" t="s">
        <v>22</v>
      </c>
      <c r="N677">
        <v>4</v>
      </c>
    </row>
    <row r="678" spans="1:14" x14ac:dyDescent="0.25">
      <c r="A678">
        <v>677</v>
      </c>
      <c r="B678">
        <v>34</v>
      </c>
      <c r="C678" t="s">
        <v>14</v>
      </c>
      <c r="D678" t="s">
        <v>15</v>
      </c>
      <c r="E678" t="s">
        <v>16</v>
      </c>
      <c r="F678" t="s">
        <v>45</v>
      </c>
      <c r="G678" s="4">
        <v>15</v>
      </c>
      <c r="H678" t="s">
        <v>37</v>
      </c>
      <c r="I678" s="4">
        <v>1564</v>
      </c>
      <c r="J678" t="s">
        <v>35</v>
      </c>
      <c r="K678" t="s">
        <v>38</v>
      </c>
      <c r="L678" t="s">
        <v>21</v>
      </c>
      <c r="M678" t="s">
        <v>31</v>
      </c>
      <c r="N678">
        <v>3</v>
      </c>
    </row>
    <row r="679" spans="1:14" x14ac:dyDescent="0.25">
      <c r="A679">
        <v>678</v>
      </c>
      <c r="B679">
        <v>20</v>
      </c>
      <c r="C679" t="s">
        <v>23</v>
      </c>
      <c r="D679" t="s">
        <v>15</v>
      </c>
      <c r="E679" t="s">
        <v>16</v>
      </c>
      <c r="F679" t="s">
        <v>45</v>
      </c>
      <c r="G679" s="4">
        <v>9</v>
      </c>
      <c r="H679" t="s">
        <v>34</v>
      </c>
      <c r="I679" s="4">
        <v>1256</v>
      </c>
      <c r="J679" t="s">
        <v>44</v>
      </c>
      <c r="K679" t="s">
        <v>48</v>
      </c>
      <c r="L679" t="s">
        <v>21</v>
      </c>
      <c r="M679" t="s">
        <v>31</v>
      </c>
      <c r="N679">
        <v>4</v>
      </c>
    </row>
    <row r="680" spans="1:14" x14ac:dyDescent="0.25">
      <c r="A680">
        <v>679</v>
      </c>
      <c r="B680">
        <v>30</v>
      </c>
      <c r="C680" t="s">
        <v>29</v>
      </c>
      <c r="D680" t="s">
        <v>32</v>
      </c>
      <c r="E680" t="s">
        <v>39</v>
      </c>
      <c r="F680" t="s">
        <v>42</v>
      </c>
      <c r="G680" s="4">
        <v>8</v>
      </c>
      <c r="H680" t="s">
        <v>18</v>
      </c>
      <c r="I680" s="4">
        <v>1310</v>
      </c>
      <c r="J680" t="s">
        <v>41</v>
      </c>
      <c r="K680" t="s">
        <v>38</v>
      </c>
      <c r="L680" t="s">
        <v>21</v>
      </c>
      <c r="M680" t="s">
        <v>22</v>
      </c>
      <c r="N680">
        <v>2</v>
      </c>
    </row>
    <row r="681" spans="1:14" x14ac:dyDescent="0.25">
      <c r="A681">
        <v>680</v>
      </c>
      <c r="B681">
        <v>33</v>
      </c>
      <c r="C681" t="s">
        <v>14</v>
      </c>
      <c r="D681" t="s">
        <v>32</v>
      </c>
      <c r="E681" t="s">
        <v>16</v>
      </c>
      <c r="F681" t="s">
        <v>30</v>
      </c>
      <c r="G681" s="4">
        <v>21</v>
      </c>
      <c r="H681" t="s">
        <v>43</v>
      </c>
      <c r="I681" s="4">
        <v>2066</v>
      </c>
      <c r="J681" t="s">
        <v>45</v>
      </c>
      <c r="K681" t="s">
        <v>48</v>
      </c>
      <c r="L681" t="s">
        <v>28</v>
      </c>
      <c r="M681" t="s">
        <v>22</v>
      </c>
      <c r="N681">
        <v>4</v>
      </c>
    </row>
    <row r="682" spans="1:14" x14ac:dyDescent="0.25">
      <c r="A682">
        <v>681</v>
      </c>
      <c r="B682">
        <v>31</v>
      </c>
      <c r="C682" t="s">
        <v>29</v>
      </c>
      <c r="D682" t="s">
        <v>36</v>
      </c>
      <c r="E682" t="s">
        <v>24</v>
      </c>
      <c r="F682" t="s">
        <v>17</v>
      </c>
      <c r="G682" s="4">
        <v>25</v>
      </c>
      <c r="H682" t="s">
        <v>18</v>
      </c>
      <c r="I682" s="4">
        <v>957</v>
      </c>
      <c r="J682" t="s">
        <v>27</v>
      </c>
      <c r="K682" t="s">
        <v>38</v>
      </c>
      <c r="L682" t="s">
        <v>28</v>
      </c>
      <c r="M682" t="s">
        <v>31</v>
      </c>
      <c r="N682">
        <v>1</v>
      </c>
    </row>
    <row r="683" spans="1:14" x14ac:dyDescent="0.25">
      <c r="A683">
        <v>682</v>
      </c>
      <c r="B683">
        <v>32</v>
      </c>
      <c r="C683" t="s">
        <v>14</v>
      </c>
      <c r="D683" t="s">
        <v>15</v>
      </c>
      <c r="E683" t="s">
        <v>39</v>
      </c>
      <c r="F683" t="s">
        <v>45</v>
      </c>
      <c r="G683" s="4">
        <v>7</v>
      </c>
      <c r="H683" t="s">
        <v>37</v>
      </c>
      <c r="I683" s="4">
        <v>2604</v>
      </c>
      <c r="J683" t="s">
        <v>27</v>
      </c>
      <c r="K683" t="s">
        <v>20</v>
      </c>
      <c r="L683" t="s">
        <v>28</v>
      </c>
      <c r="M683" t="s">
        <v>22</v>
      </c>
      <c r="N683">
        <v>5</v>
      </c>
    </row>
    <row r="684" spans="1:14" x14ac:dyDescent="0.25">
      <c r="A684">
        <v>683</v>
      </c>
      <c r="B684">
        <v>18</v>
      </c>
      <c r="C684" t="s">
        <v>23</v>
      </c>
      <c r="D684" t="s">
        <v>15</v>
      </c>
      <c r="E684" t="s">
        <v>16</v>
      </c>
      <c r="F684" t="s">
        <v>33</v>
      </c>
      <c r="G684" s="4">
        <v>19</v>
      </c>
      <c r="H684" t="s">
        <v>43</v>
      </c>
      <c r="I684" s="4">
        <v>2542</v>
      </c>
      <c r="J684" t="s">
        <v>35</v>
      </c>
      <c r="K684" t="s">
        <v>34</v>
      </c>
      <c r="L684" t="s">
        <v>28</v>
      </c>
      <c r="M684" t="s">
        <v>31</v>
      </c>
      <c r="N684">
        <v>3</v>
      </c>
    </row>
    <row r="685" spans="1:14" x14ac:dyDescent="0.25">
      <c r="A685">
        <v>684</v>
      </c>
      <c r="B685">
        <v>38</v>
      </c>
      <c r="C685" t="s">
        <v>29</v>
      </c>
      <c r="D685" t="s">
        <v>15</v>
      </c>
      <c r="E685" t="s">
        <v>16</v>
      </c>
      <c r="F685" t="s">
        <v>17</v>
      </c>
      <c r="G685" s="4">
        <v>11</v>
      </c>
      <c r="H685" t="s">
        <v>18</v>
      </c>
      <c r="I685" s="4">
        <v>2396</v>
      </c>
      <c r="J685" t="s">
        <v>35</v>
      </c>
      <c r="K685" t="s">
        <v>48</v>
      </c>
      <c r="L685" t="s">
        <v>28</v>
      </c>
      <c r="M685" t="s">
        <v>22</v>
      </c>
      <c r="N685">
        <v>5</v>
      </c>
    </row>
    <row r="686" spans="1:14" x14ac:dyDescent="0.25">
      <c r="A686">
        <v>685</v>
      </c>
      <c r="B686">
        <v>22</v>
      </c>
      <c r="C686" t="s">
        <v>29</v>
      </c>
      <c r="D686" t="s">
        <v>15</v>
      </c>
      <c r="E686" t="s">
        <v>24</v>
      </c>
      <c r="F686" t="s">
        <v>45</v>
      </c>
      <c r="G686" s="4">
        <v>28</v>
      </c>
      <c r="H686" t="s">
        <v>34</v>
      </c>
      <c r="I686" s="4">
        <v>2279</v>
      </c>
      <c r="J686" t="s">
        <v>50</v>
      </c>
      <c r="K686" t="s">
        <v>34</v>
      </c>
      <c r="L686" t="s">
        <v>28</v>
      </c>
      <c r="M686" t="s">
        <v>31</v>
      </c>
      <c r="N686">
        <v>3</v>
      </c>
    </row>
    <row r="687" spans="1:14" x14ac:dyDescent="0.25">
      <c r="A687">
        <v>686</v>
      </c>
      <c r="B687">
        <v>25</v>
      </c>
      <c r="C687" t="s">
        <v>14</v>
      </c>
      <c r="D687" t="s">
        <v>32</v>
      </c>
      <c r="E687" t="s">
        <v>24</v>
      </c>
      <c r="F687" t="s">
        <v>30</v>
      </c>
      <c r="G687" s="4">
        <v>26</v>
      </c>
      <c r="H687" t="s">
        <v>47</v>
      </c>
      <c r="I687" s="4">
        <v>1317</v>
      </c>
      <c r="J687" t="s">
        <v>44</v>
      </c>
      <c r="K687" t="s">
        <v>48</v>
      </c>
      <c r="L687" t="s">
        <v>28</v>
      </c>
      <c r="M687" t="s">
        <v>22</v>
      </c>
      <c r="N687">
        <v>3</v>
      </c>
    </row>
    <row r="688" spans="1:14" x14ac:dyDescent="0.25">
      <c r="A688">
        <v>687</v>
      </c>
      <c r="B688">
        <v>18</v>
      </c>
      <c r="C688" t="s">
        <v>23</v>
      </c>
      <c r="D688" t="s">
        <v>36</v>
      </c>
      <c r="E688" t="s">
        <v>24</v>
      </c>
      <c r="F688" t="s">
        <v>42</v>
      </c>
      <c r="G688" s="4">
        <v>26</v>
      </c>
      <c r="H688" t="s">
        <v>26</v>
      </c>
      <c r="I688" s="4">
        <v>710</v>
      </c>
      <c r="J688" t="s">
        <v>19</v>
      </c>
      <c r="K688" t="s">
        <v>48</v>
      </c>
      <c r="L688" t="s">
        <v>21</v>
      </c>
      <c r="M688" t="s">
        <v>31</v>
      </c>
      <c r="N688">
        <v>4</v>
      </c>
    </row>
    <row r="689" spans="1:14" x14ac:dyDescent="0.25">
      <c r="A689">
        <v>688</v>
      </c>
      <c r="B689">
        <v>39</v>
      </c>
      <c r="C689" t="s">
        <v>23</v>
      </c>
      <c r="D689" t="s">
        <v>32</v>
      </c>
      <c r="E689" t="s">
        <v>39</v>
      </c>
      <c r="F689" t="s">
        <v>25</v>
      </c>
      <c r="G689" s="4">
        <v>8</v>
      </c>
      <c r="H689" t="s">
        <v>47</v>
      </c>
      <c r="I689" s="4">
        <v>1445</v>
      </c>
      <c r="J689" t="s">
        <v>19</v>
      </c>
      <c r="K689" t="s">
        <v>20</v>
      </c>
      <c r="L689" t="s">
        <v>28</v>
      </c>
      <c r="M689" t="s">
        <v>22</v>
      </c>
      <c r="N689">
        <v>4</v>
      </c>
    </row>
    <row r="690" spans="1:14" x14ac:dyDescent="0.25">
      <c r="A690">
        <v>689</v>
      </c>
      <c r="B690">
        <v>32</v>
      </c>
      <c r="C690" t="s">
        <v>29</v>
      </c>
      <c r="D690" t="s">
        <v>36</v>
      </c>
      <c r="E690" t="s">
        <v>24</v>
      </c>
      <c r="F690" t="s">
        <v>30</v>
      </c>
      <c r="G690" s="4">
        <v>5</v>
      </c>
      <c r="H690" t="s">
        <v>40</v>
      </c>
      <c r="I690" s="4">
        <v>907</v>
      </c>
      <c r="J690" t="s">
        <v>19</v>
      </c>
      <c r="K690" t="s">
        <v>34</v>
      </c>
      <c r="L690" t="s">
        <v>21</v>
      </c>
      <c r="M690" t="s">
        <v>22</v>
      </c>
      <c r="N690">
        <v>1</v>
      </c>
    </row>
    <row r="691" spans="1:14" x14ac:dyDescent="0.25">
      <c r="A691">
        <v>690</v>
      </c>
      <c r="B691">
        <v>33</v>
      </c>
      <c r="C691" t="s">
        <v>29</v>
      </c>
      <c r="D691" t="s">
        <v>36</v>
      </c>
      <c r="E691" t="s">
        <v>24</v>
      </c>
      <c r="F691" t="s">
        <v>45</v>
      </c>
      <c r="G691" s="4">
        <v>16</v>
      </c>
      <c r="H691" t="s">
        <v>40</v>
      </c>
      <c r="I691" s="4">
        <v>150</v>
      </c>
      <c r="J691" t="s">
        <v>41</v>
      </c>
      <c r="K691" t="s">
        <v>38</v>
      </c>
      <c r="L691" t="s">
        <v>28</v>
      </c>
      <c r="M691" t="s">
        <v>22</v>
      </c>
      <c r="N691">
        <v>3</v>
      </c>
    </row>
    <row r="692" spans="1:14" x14ac:dyDescent="0.25">
      <c r="A692">
        <v>691</v>
      </c>
      <c r="B692">
        <v>26</v>
      </c>
      <c r="C692" t="s">
        <v>14</v>
      </c>
      <c r="D692" t="s">
        <v>36</v>
      </c>
      <c r="E692" t="s">
        <v>16</v>
      </c>
      <c r="F692" t="s">
        <v>17</v>
      </c>
      <c r="G692" s="4">
        <v>23</v>
      </c>
      <c r="H692" t="s">
        <v>37</v>
      </c>
      <c r="I692" s="4">
        <v>2049</v>
      </c>
      <c r="J692" t="s">
        <v>19</v>
      </c>
      <c r="K692" t="s">
        <v>38</v>
      </c>
      <c r="L692" t="s">
        <v>21</v>
      </c>
      <c r="M692" t="s">
        <v>22</v>
      </c>
      <c r="N692">
        <v>4</v>
      </c>
    </row>
    <row r="693" spans="1:14" x14ac:dyDescent="0.25">
      <c r="A693">
        <v>692</v>
      </c>
      <c r="B693">
        <v>26</v>
      </c>
      <c r="C693" t="s">
        <v>23</v>
      </c>
      <c r="D693" t="s">
        <v>32</v>
      </c>
      <c r="E693" t="s">
        <v>16</v>
      </c>
      <c r="F693" t="s">
        <v>17</v>
      </c>
      <c r="G693" s="4">
        <v>23</v>
      </c>
      <c r="H693" t="s">
        <v>47</v>
      </c>
      <c r="I693" s="4">
        <v>933</v>
      </c>
      <c r="J693" t="s">
        <v>35</v>
      </c>
      <c r="K693" t="s">
        <v>20</v>
      </c>
      <c r="L693" t="s">
        <v>21</v>
      </c>
      <c r="M693" t="s">
        <v>31</v>
      </c>
      <c r="N693">
        <v>5</v>
      </c>
    </row>
    <row r="694" spans="1:14" x14ac:dyDescent="0.25">
      <c r="A694">
        <v>693</v>
      </c>
      <c r="B694">
        <v>38</v>
      </c>
      <c r="C694" t="s">
        <v>29</v>
      </c>
      <c r="D694" t="s">
        <v>32</v>
      </c>
      <c r="E694" t="s">
        <v>39</v>
      </c>
      <c r="F694" t="s">
        <v>30</v>
      </c>
      <c r="G694" s="4">
        <v>26</v>
      </c>
      <c r="H694" t="s">
        <v>18</v>
      </c>
      <c r="I694" s="4">
        <v>2662</v>
      </c>
      <c r="J694" t="s">
        <v>49</v>
      </c>
      <c r="K694" t="s">
        <v>20</v>
      </c>
      <c r="L694" t="s">
        <v>28</v>
      </c>
      <c r="M694" t="s">
        <v>22</v>
      </c>
      <c r="N694">
        <v>1</v>
      </c>
    </row>
    <row r="695" spans="1:14" x14ac:dyDescent="0.25">
      <c r="A695">
        <v>694</v>
      </c>
      <c r="B695">
        <v>25</v>
      </c>
      <c r="C695" t="s">
        <v>23</v>
      </c>
      <c r="D695" t="s">
        <v>32</v>
      </c>
      <c r="E695" t="s">
        <v>39</v>
      </c>
      <c r="F695" t="s">
        <v>33</v>
      </c>
      <c r="G695" s="4">
        <v>6</v>
      </c>
      <c r="H695" t="s">
        <v>26</v>
      </c>
      <c r="I695" s="4">
        <v>1138</v>
      </c>
      <c r="J695" t="s">
        <v>27</v>
      </c>
      <c r="K695" t="s">
        <v>34</v>
      </c>
      <c r="L695" t="s">
        <v>21</v>
      </c>
      <c r="M695" t="s">
        <v>22</v>
      </c>
      <c r="N695">
        <v>4</v>
      </c>
    </row>
    <row r="696" spans="1:14" x14ac:dyDescent="0.25">
      <c r="A696">
        <v>695</v>
      </c>
      <c r="B696">
        <v>25</v>
      </c>
      <c r="C696" t="s">
        <v>14</v>
      </c>
      <c r="D696" t="s">
        <v>15</v>
      </c>
      <c r="E696" t="s">
        <v>16</v>
      </c>
      <c r="F696" t="s">
        <v>30</v>
      </c>
      <c r="G696" s="4">
        <v>27</v>
      </c>
      <c r="H696" t="s">
        <v>46</v>
      </c>
      <c r="I696" s="4">
        <v>1735</v>
      </c>
      <c r="J696" t="s">
        <v>19</v>
      </c>
      <c r="K696" t="s">
        <v>48</v>
      </c>
      <c r="L696" t="s">
        <v>21</v>
      </c>
      <c r="M696" t="s">
        <v>31</v>
      </c>
      <c r="N696">
        <v>1</v>
      </c>
    </row>
    <row r="697" spans="1:14" x14ac:dyDescent="0.25">
      <c r="A697">
        <v>696</v>
      </c>
      <c r="B697">
        <v>31</v>
      </c>
      <c r="C697" t="s">
        <v>23</v>
      </c>
      <c r="D697" t="s">
        <v>32</v>
      </c>
      <c r="E697" t="s">
        <v>39</v>
      </c>
      <c r="F697" t="s">
        <v>25</v>
      </c>
      <c r="G697" s="4">
        <v>30</v>
      </c>
      <c r="H697" t="s">
        <v>18</v>
      </c>
      <c r="I697" s="4">
        <v>98</v>
      </c>
      <c r="J697" t="s">
        <v>49</v>
      </c>
      <c r="K697" t="s">
        <v>38</v>
      </c>
      <c r="L697" t="s">
        <v>28</v>
      </c>
      <c r="M697" t="s">
        <v>22</v>
      </c>
      <c r="N697">
        <v>5</v>
      </c>
    </row>
    <row r="698" spans="1:14" x14ac:dyDescent="0.25">
      <c r="A698">
        <v>697</v>
      </c>
      <c r="B698">
        <v>28</v>
      </c>
      <c r="C698" t="s">
        <v>23</v>
      </c>
      <c r="D698" t="s">
        <v>36</v>
      </c>
      <c r="E698" t="s">
        <v>39</v>
      </c>
      <c r="F698" t="s">
        <v>33</v>
      </c>
      <c r="G698" s="4">
        <v>21</v>
      </c>
      <c r="H698" t="s">
        <v>43</v>
      </c>
      <c r="I698" s="4">
        <v>969</v>
      </c>
      <c r="J698" t="s">
        <v>19</v>
      </c>
      <c r="K698" t="s">
        <v>48</v>
      </c>
      <c r="L698" t="s">
        <v>21</v>
      </c>
      <c r="M698" t="s">
        <v>22</v>
      </c>
      <c r="N698">
        <v>1</v>
      </c>
    </row>
    <row r="699" spans="1:14" x14ac:dyDescent="0.25">
      <c r="A699">
        <v>698</v>
      </c>
      <c r="B699">
        <v>30</v>
      </c>
      <c r="C699" t="s">
        <v>14</v>
      </c>
      <c r="D699" t="s">
        <v>15</v>
      </c>
      <c r="E699" t="s">
        <v>39</v>
      </c>
      <c r="F699" t="s">
        <v>33</v>
      </c>
      <c r="G699" s="4">
        <v>15</v>
      </c>
      <c r="H699" t="s">
        <v>46</v>
      </c>
      <c r="I699" s="4">
        <v>2840</v>
      </c>
      <c r="J699" t="s">
        <v>45</v>
      </c>
      <c r="K699" t="s">
        <v>48</v>
      </c>
      <c r="L699" t="s">
        <v>21</v>
      </c>
      <c r="M699" t="s">
        <v>22</v>
      </c>
      <c r="N699">
        <v>1</v>
      </c>
    </row>
    <row r="700" spans="1:14" x14ac:dyDescent="0.25">
      <c r="A700">
        <v>699</v>
      </c>
      <c r="B700">
        <v>35</v>
      </c>
      <c r="C700" t="s">
        <v>29</v>
      </c>
      <c r="D700" t="s">
        <v>15</v>
      </c>
      <c r="E700" t="s">
        <v>24</v>
      </c>
      <c r="F700" t="s">
        <v>42</v>
      </c>
      <c r="G700" s="4">
        <v>6</v>
      </c>
      <c r="H700" t="s">
        <v>40</v>
      </c>
      <c r="I700" s="4">
        <v>1207</v>
      </c>
      <c r="J700" t="s">
        <v>41</v>
      </c>
      <c r="K700" t="s">
        <v>20</v>
      </c>
      <c r="L700" t="s">
        <v>28</v>
      </c>
      <c r="M700" t="s">
        <v>31</v>
      </c>
      <c r="N700">
        <v>4</v>
      </c>
    </row>
    <row r="701" spans="1:14" x14ac:dyDescent="0.25">
      <c r="A701">
        <v>700</v>
      </c>
      <c r="B701">
        <v>31</v>
      </c>
      <c r="C701" t="s">
        <v>29</v>
      </c>
      <c r="D701" t="s">
        <v>36</v>
      </c>
      <c r="E701" t="s">
        <v>24</v>
      </c>
      <c r="F701" t="s">
        <v>33</v>
      </c>
      <c r="G701" s="4">
        <v>24</v>
      </c>
      <c r="H701" t="s">
        <v>43</v>
      </c>
      <c r="I701" s="4">
        <v>2536</v>
      </c>
      <c r="J701" t="s">
        <v>50</v>
      </c>
      <c r="K701" t="s">
        <v>38</v>
      </c>
      <c r="L701" t="s">
        <v>21</v>
      </c>
      <c r="M701" t="s">
        <v>22</v>
      </c>
      <c r="N701">
        <v>1</v>
      </c>
    </row>
    <row r="702" spans="1:14" x14ac:dyDescent="0.25">
      <c r="A702">
        <v>701</v>
      </c>
      <c r="B702">
        <v>18</v>
      </c>
      <c r="C702" t="s">
        <v>23</v>
      </c>
      <c r="D702" t="s">
        <v>15</v>
      </c>
      <c r="E702" t="s">
        <v>24</v>
      </c>
      <c r="F702" t="s">
        <v>25</v>
      </c>
      <c r="G702" s="4">
        <v>24</v>
      </c>
      <c r="H702" t="s">
        <v>46</v>
      </c>
      <c r="I702" s="4">
        <v>2921</v>
      </c>
      <c r="J702" t="s">
        <v>50</v>
      </c>
      <c r="K702" t="s">
        <v>20</v>
      </c>
      <c r="L702" t="s">
        <v>28</v>
      </c>
      <c r="M702" t="s">
        <v>31</v>
      </c>
      <c r="N702">
        <v>1</v>
      </c>
    </row>
    <row r="703" spans="1:14" x14ac:dyDescent="0.25">
      <c r="A703">
        <v>702</v>
      </c>
      <c r="B703">
        <v>23</v>
      </c>
      <c r="C703" t="s">
        <v>14</v>
      </c>
      <c r="D703" t="s">
        <v>15</v>
      </c>
      <c r="E703" t="s">
        <v>39</v>
      </c>
      <c r="F703" t="s">
        <v>45</v>
      </c>
      <c r="G703" s="4">
        <v>12</v>
      </c>
      <c r="H703" t="s">
        <v>26</v>
      </c>
      <c r="I703" s="4">
        <v>563</v>
      </c>
      <c r="J703" t="s">
        <v>50</v>
      </c>
      <c r="K703" t="s">
        <v>34</v>
      </c>
      <c r="L703" t="s">
        <v>21</v>
      </c>
      <c r="M703" t="s">
        <v>22</v>
      </c>
      <c r="N703">
        <v>1</v>
      </c>
    </row>
    <row r="704" spans="1:14" x14ac:dyDescent="0.25">
      <c r="A704">
        <v>703</v>
      </c>
      <c r="B704">
        <v>33</v>
      </c>
      <c r="C704" t="s">
        <v>29</v>
      </c>
      <c r="D704" t="s">
        <v>32</v>
      </c>
      <c r="E704" t="s">
        <v>16</v>
      </c>
      <c r="F704" t="s">
        <v>45</v>
      </c>
      <c r="G704" s="4">
        <v>14</v>
      </c>
      <c r="H704" t="s">
        <v>37</v>
      </c>
      <c r="I704" s="4">
        <v>2471</v>
      </c>
      <c r="J704" t="s">
        <v>41</v>
      </c>
      <c r="K704" t="s">
        <v>38</v>
      </c>
      <c r="L704" t="s">
        <v>21</v>
      </c>
      <c r="M704" t="s">
        <v>31</v>
      </c>
      <c r="N704">
        <v>3</v>
      </c>
    </row>
    <row r="705" spans="1:14" x14ac:dyDescent="0.25">
      <c r="A705">
        <v>704</v>
      </c>
      <c r="B705">
        <v>29</v>
      </c>
      <c r="C705" t="s">
        <v>14</v>
      </c>
      <c r="D705" t="s">
        <v>32</v>
      </c>
      <c r="E705" t="s">
        <v>16</v>
      </c>
      <c r="F705" t="s">
        <v>17</v>
      </c>
      <c r="G705" s="4">
        <v>11</v>
      </c>
      <c r="H705" t="s">
        <v>43</v>
      </c>
      <c r="I705" s="4">
        <v>820</v>
      </c>
      <c r="J705" t="s">
        <v>49</v>
      </c>
      <c r="K705" t="s">
        <v>34</v>
      </c>
      <c r="L705" t="s">
        <v>28</v>
      </c>
      <c r="M705" t="s">
        <v>31</v>
      </c>
      <c r="N705">
        <v>2</v>
      </c>
    </row>
    <row r="706" spans="1:14" x14ac:dyDescent="0.25">
      <c r="A706">
        <v>705</v>
      </c>
      <c r="B706">
        <v>31</v>
      </c>
      <c r="C706" t="s">
        <v>29</v>
      </c>
      <c r="D706" t="s">
        <v>15</v>
      </c>
      <c r="E706" t="s">
        <v>39</v>
      </c>
      <c r="F706" t="s">
        <v>25</v>
      </c>
      <c r="G706" s="4">
        <v>15</v>
      </c>
      <c r="H706" t="s">
        <v>47</v>
      </c>
      <c r="I706" s="4">
        <v>664</v>
      </c>
      <c r="J706" t="s">
        <v>27</v>
      </c>
      <c r="K706" t="s">
        <v>38</v>
      </c>
      <c r="L706" t="s">
        <v>28</v>
      </c>
      <c r="M706" t="s">
        <v>22</v>
      </c>
      <c r="N706">
        <v>1</v>
      </c>
    </row>
    <row r="707" spans="1:14" x14ac:dyDescent="0.25">
      <c r="A707">
        <v>706</v>
      </c>
      <c r="B707">
        <v>25</v>
      </c>
      <c r="C707" t="s">
        <v>14</v>
      </c>
      <c r="D707" t="s">
        <v>32</v>
      </c>
      <c r="E707" t="s">
        <v>16</v>
      </c>
      <c r="F707" t="s">
        <v>33</v>
      </c>
      <c r="G707" s="4">
        <v>20</v>
      </c>
      <c r="H707" t="s">
        <v>34</v>
      </c>
      <c r="I707" s="4">
        <v>1357</v>
      </c>
      <c r="J707" t="s">
        <v>41</v>
      </c>
      <c r="K707" t="s">
        <v>48</v>
      </c>
      <c r="L707" t="s">
        <v>28</v>
      </c>
      <c r="M707" t="s">
        <v>22</v>
      </c>
      <c r="N707">
        <v>4</v>
      </c>
    </row>
    <row r="708" spans="1:14" x14ac:dyDescent="0.25">
      <c r="A708">
        <v>707</v>
      </c>
      <c r="B708">
        <v>35</v>
      </c>
      <c r="C708" t="s">
        <v>29</v>
      </c>
      <c r="D708" t="s">
        <v>15</v>
      </c>
      <c r="E708" t="s">
        <v>24</v>
      </c>
      <c r="F708" t="s">
        <v>45</v>
      </c>
      <c r="G708" s="4">
        <v>8</v>
      </c>
      <c r="H708" t="s">
        <v>34</v>
      </c>
      <c r="I708" s="4">
        <v>583</v>
      </c>
      <c r="J708" t="s">
        <v>41</v>
      </c>
      <c r="K708" t="s">
        <v>48</v>
      </c>
      <c r="L708" t="s">
        <v>21</v>
      </c>
      <c r="M708" t="s">
        <v>22</v>
      </c>
      <c r="N708">
        <v>3</v>
      </c>
    </row>
    <row r="709" spans="1:14" x14ac:dyDescent="0.25">
      <c r="A709">
        <v>708</v>
      </c>
      <c r="B709">
        <v>27</v>
      </c>
      <c r="C709" t="s">
        <v>23</v>
      </c>
      <c r="D709" t="s">
        <v>15</v>
      </c>
      <c r="E709" t="s">
        <v>39</v>
      </c>
      <c r="F709" t="s">
        <v>45</v>
      </c>
      <c r="G709" s="4">
        <v>10</v>
      </c>
      <c r="H709" t="s">
        <v>40</v>
      </c>
      <c r="I709" s="4">
        <v>896</v>
      </c>
      <c r="J709" t="s">
        <v>44</v>
      </c>
      <c r="K709" t="s">
        <v>38</v>
      </c>
      <c r="L709" t="s">
        <v>21</v>
      </c>
      <c r="M709" t="s">
        <v>22</v>
      </c>
      <c r="N709">
        <v>3</v>
      </c>
    </row>
    <row r="710" spans="1:14" x14ac:dyDescent="0.25">
      <c r="A710">
        <v>709</v>
      </c>
      <c r="B710">
        <v>26</v>
      </c>
      <c r="C710" t="s">
        <v>29</v>
      </c>
      <c r="D710" t="s">
        <v>36</v>
      </c>
      <c r="E710" t="s">
        <v>16</v>
      </c>
      <c r="F710" t="s">
        <v>30</v>
      </c>
      <c r="G710" s="4">
        <v>8</v>
      </c>
      <c r="H710" t="s">
        <v>40</v>
      </c>
      <c r="I710" s="4">
        <v>85</v>
      </c>
      <c r="J710" t="s">
        <v>35</v>
      </c>
      <c r="K710" t="s">
        <v>20</v>
      </c>
      <c r="L710" t="s">
        <v>21</v>
      </c>
      <c r="M710" t="s">
        <v>31</v>
      </c>
      <c r="N710">
        <v>2</v>
      </c>
    </row>
    <row r="711" spans="1:14" x14ac:dyDescent="0.25">
      <c r="A711">
        <v>710</v>
      </c>
      <c r="B711">
        <v>29</v>
      </c>
      <c r="C711" t="s">
        <v>23</v>
      </c>
      <c r="D711" t="s">
        <v>32</v>
      </c>
      <c r="E711" t="s">
        <v>24</v>
      </c>
      <c r="F711" t="s">
        <v>33</v>
      </c>
      <c r="G711" s="4">
        <v>26</v>
      </c>
      <c r="H711" t="s">
        <v>18</v>
      </c>
      <c r="I711" s="4">
        <v>701</v>
      </c>
      <c r="J711" t="s">
        <v>44</v>
      </c>
      <c r="K711" t="s">
        <v>38</v>
      </c>
      <c r="L711" t="s">
        <v>21</v>
      </c>
      <c r="M711" t="s">
        <v>22</v>
      </c>
      <c r="N711">
        <v>5</v>
      </c>
    </row>
    <row r="712" spans="1:14" x14ac:dyDescent="0.25">
      <c r="A712">
        <v>711</v>
      </c>
      <c r="B712">
        <v>35</v>
      </c>
      <c r="C712" t="s">
        <v>29</v>
      </c>
      <c r="D712" t="s">
        <v>36</v>
      </c>
      <c r="E712" t="s">
        <v>39</v>
      </c>
      <c r="F712" t="s">
        <v>17</v>
      </c>
      <c r="G712" s="4">
        <v>17</v>
      </c>
      <c r="H712" t="s">
        <v>40</v>
      </c>
      <c r="I712" s="4">
        <v>2844</v>
      </c>
      <c r="J712" t="s">
        <v>41</v>
      </c>
      <c r="K712" t="s">
        <v>38</v>
      </c>
      <c r="L712" t="s">
        <v>28</v>
      </c>
      <c r="M712" t="s">
        <v>22</v>
      </c>
      <c r="N712">
        <v>3</v>
      </c>
    </row>
    <row r="713" spans="1:14" x14ac:dyDescent="0.25">
      <c r="A713">
        <v>712</v>
      </c>
      <c r="B713">
        <v>28</v>
      </c>
      <c r="C713" t="s">
        <v>14</v>
      </c>
      <c r="D713" t="s">
        <v>36</v>
      </c>
      <c r="E713" t="s">
        <v>24</v>
      </c>
      <c r="F713" t="s">
        <v>42</v>
      </c>
      <c r="G713" s="4">
        <v>12</v>
      </c>
      <c r="H713" t="s">
        <v>40</v>
      </c>
      <c r="I713" s="4">
        <v>218</v>
      </c>
      <c r="J713" t="s">
        <v>19</v>
      </c>
      <c r="K713" t="s">
        <v>20</v>
      </c>
      <c r="L713" t="s">
        <v>21</v>
      </c>
      <c r="M713" t="s">
        <v>22</v>
      </c>
      <c r="N713">
        <v>3</v>
      </c>
    </row>
    <row r="714" spans="1:14" x14ac:dyDescent="0.25">
      <c r="A714">
        <v>713</v>
      </c>
      <c r="B714">
        <v>34</v>
      </c>
      <c r="C714" t="s">
        <v>29</v>
      </c>
      <c r="D714" t="s">
        <v>32</v>
      </c>
      <c r="E714" t="s">
        <v>24</v>
      </c>
      <c r="F714" t="s">
        <v>42</v>
      </c>
      <c r="G714" s="4">
        <v>17</v>
      </c>
      <c r="H714" t="s">
        <v>37</v>
      </c>
      <c r="I714" s="4">
        <v>2642</v>
      </c>
      <c r="J714" t="s">
        <v>50</v>
      </c>
      <c r="K714" t="s">
        <v>34</v>
      </c>
      <c r="L714" t="s">
        <v>28</v>
      </c>
      <c r="M714" t="s">
        <v>31</v>
      </c>
      <c r="N714">
        <v>5</v>
      </c>
    </row>
    <row r="715" spans="1:14" x14ac:dyDescent="0.25">
      <c r="A715">
        <v>714</v>
      </c>
      <c r="B715">
        <v>33</v>
      </c>
      <c r="C715" t="s">
        <v>23</v>
      </c>
      <c r="D715" t="s">
        <v>36</v>
      </c>
      <c r="E715" t="s">
        <v>24</v>
      </c>
      <c r="F715" t="s">
        <v>33</v>
      </c>
      <c r="G715" s="4">
        <v>13</v>
      </c>
      <c r="H715" t="s">
        <v>40</v>
      </c>
      <c r="I715" s="4">
        <v>2380</v>
      </c>
      <c r="J715" t="s">
        <v>27</v>
      </c>
      <c r="K715" t="s">
        <v>38</v>
      </c>
      <c r="L715" t="s">
        <v>28</v>
      </c>
      <c r="M715" t="s">
        <v>22</v>
      </c>
      <c r="N715">
        <v>4</v>
      </c>
    </row>
    <row r="716" spans="1:14" x14ac:dyDescent="0.25">
      <c r="A716">
        <v>715</v>
      </c>
      <c r="B716">
        <v>30</v>
      </c>
      <c r="C716" t="s">
        <v>29</v>
      </c>
      <c r="D716" t="s">
        <v>36</v>
      </c>
      <c r="E716" t="s">
        <v>16</v>
      </c>
      <c r="F716" t="s">
        <v>30</v>
      </c>
      <c r="G716" s="4">
        <v>11</v>
      </c>
      <c r="H716" t="s">
        <v>46</v>
      </c>
      <c r="I716" s="4">
        <v>1253</v>
      </c>
      <c r="J716" t="s">
        <v>19</v>
      </c>
      <c r="K716" t="s">
        <v>38</v>
      </c>
      <c r="L716" t="s">
        <v>21</v>
      </c>
      <c r="M716" t="s">
        <v>31</v>
      </c>
      <c r="N716">
        <v>4</v>
      </c>
    </row>
    <row r="717" spans="1:14" x14ac:dyDescent="0.25">
      <c r="A717">
        <v>716</v>
      </c>
      <c r="B717">
        <v>32</v>
      </c>
      <c r="C717" t="s">
        <v>23</v>
      </c>
      <c r="D717" t="s">
        <v>15</v>
      </c>
      <c r="E717" t="s">
        <v>39</v>
      </c>
      <c r="F717" t="s">
        <v>45</v>
      </c>
      <c r="G717" s="4">
        <v>21</v>
      </c>
      <c r="H717" t="s">
        <v>34</v>
      </c>
      <c r="I717" s="4">
        <v>1440</v>
      </c>
      <c r="J717" t="s">
        <v>45</v>
      </c>
      <c r="K717" t="s">
        <v>20</v>
      </c>
      <c r="L717" t="s">
        <v>28</v>
      </c>
      <c r="M717" t="s">
        <v>31</v>
      </c>
      <c r="N717">
        <v>2</v>
      </c>
    </row>
    <row r="718" spans="1:14" x14ac:dyDescent="0.25">
      <c r="A718">
        <v>717</v>
      </c>
      <c r="B718">
        <v>31</v>
      </c>
      <c r="C718" t="s">
        <v>29</v>
      </c>
      <c r="D718" t="s">
        <v>32</v>
      </c>
      <c r="E718" t="s">
        <v>16</v>
      </c>
      <c r="F718" t="s">
        <v>25</v>
      </c>
      <c r="G718" s="4">
        <v>16</v>
      </c>
      <c r="H718" t="s">
        <v>43</v>
      </c>
      <c r="I718" s="4">
        <v>2037</v>
      </c>
      <c r="J718" t="s">
        <v>27</v>
      </c>
      <c r="K718" t="s">
        <v>34</v>
      </c>
      <c r="L718" t="s">
        <v>21</v>
      </c>
      <c r="M718" t="s">
        <v>31</v>
      </c>
      <c r="N718">
        <v>3</v>
      </c>
    </row>
    <row r="719" spans="1:14" x14ac:dyDescent="0.25">
      <c r="A719">
        <v>718</v>
      </c>
      <c r="B719">
        <v>20</v>
      </c>
      <c r="C719" t="s">
        <v>23</v>
      </c>
      <c r="D719" t="s">
        <v>36</v>
      </c>
      <c r="E719" t="s">
        <v>16</v>
      </c>
      <c r="F719" t="s">
        <v>30</v>
      </c>
      <c r="G719" s="4">
        <v>14</v>
      </c>
      <c r="H719" t="s">
        <v>40</v>
      </c>
      <c r="I719" s="4">
        <v>2055</v>
      </c>
      <c r="J719" t="s">
        <v>19</v>
      </c>
      <c r="K719" t="s">
        <v>48</v>
      </c>
      <c r="L719" t="s">
        <v>21</v>
      </c>
      <c r="M719" t="s">
        <v>31</v>
      </c>
      <c r="N719">
        <v>5</v>
      </c>
    </row>
    <row r="720" spans="1:14" x14ac:dyDescent="0.25">
      <c r="A720">
        <v>719</v>
      </c>
      <c r="B720">
        <v>19</v>
      </c>
      <c r="C720" t="s">
        <v>14</v>
      </c>
      <c r="D720" t="s">
        <v>36</v>
      </c>
      <c r="E720" t="s">
        <v>39</v>
      </c>
      <c r="F720" t="s">
        <v>30</v>
      </c>
      <c r="G720" s="4">
        <v>22</v>
      </c>
      <c r="H720" t="s">
        <v>46</v>
      </c>
      <c r="I720" s="4">
        <v>820</v>
      </c>
      <c r="J720" t="s">
        <v>35</v>
      </c>
      <c r="K720" t="s">
        <v>38</v>
      </c>
      <c r="L720" t="s">
        <v>21</v>
      </c>
      <c r="M720" t="s">
        <v>31</v>
      </c>
      <c r="N720">
        <v>3</v>
      </c>
    </row>
    <row r="721" spans="1:14" x14ac:dyDescent="0.25">
      <c r="A721">
        <v>720</v>
      </c>
      <c r="B721">
        <v>18</v>
      </c>
      <c r="C721" t="s">
        <v>29</v>
      </c>
      <c r="D721" t="s">
        <v>32</v>
      </c>
      <c r="E721" t="s">
        <v>39</v>
      </c>
      <c r="F721" t="s">
        <v>45</v>
      </c>
      <c r="G721" s="4">
        <v>29</v>
      </c>
      <c r="H721" t="s">
        <v>47</v>
      </c>
      <c r="I721" s="4">
        <v>1226</v>
      </c>
      <c r="J721" t="s">
        <v>49</v>
      </c>
      <c r="K721" t="s">
        <v>38</v>
      </c>
      <c r="L721" t="s">
        <v>28</v>
      </c>
      <c r="M721" t="s">
        <v>22</v>
      </c>
      <c r="N721">
        <v>3</v>
      </c>
    </row>
    <row r="722" spans="1:14" x14ac:dyDescent="0.25">
      <c r="A722">
        <v>721</v>
      </c>
      <c r="B722">
        <v>25</v>
      </c>
      <c r="C722" t="s">
        <v>14</v>
      </c>
      <c r="D722" t="s">
        <v>36</v>
      </c>
      <c r="E722" t="s">
        <v>24</v>
      </c>
      <c r="F722" t="s">
        <v>45</v>
      </c>
      <c r="G722" s="4">
        <v>28</v>
      </c>
      <c r="H722" t="s">
        <v>43</v>
      </c>
      <c r="I722" s="4">
        <v>859</v>
      </c>
      <c r="J722" t="s">
        <v>49</v>
      </c>
      <c r="K722" t="s">
        <v>34</v>
      </c>
      <c r="L722" t="s">
        <v>21</v>
      </c>
      <c r="M722" t="s">
        <v>31</v>
      </c>
      <c r="N722">
        <v>4</v>
      </c>
    </row>
    <row r="723" spans="1:14" x14ac:dyDescent="0.25">
      <c r="A723">
        <v>722</v>
      </c>
      <c r="B723">
        <v>24</v>
      </c>
      <c r="C723" t="s">
        <v>14</v>
      </c>
      <c r="D723" t="s">
        <v>32</v>
      </c>
      <c r="E723" t="s">
        <v>39</v>
      </c>
      <c r="F723" t="s">
        <v>45</v>
      </c>
      <c r="G723" s="4">
        <v>18</v>
      </c>
      <c r="H723" t="s">
        <v>47</v>
      </c>
      <c r="I723" s="4">
        <v>2858</v>
      </c>
      <c r="J723" t="s">
        <v>50</v>
      </c>
      <c r="K723" t="s">
        <v>38</v>
      </c>
      <c r="L723" t="s">
        <v>21</v>
      </c>
      <c r="M723" t="s">
        <v>31</v>
      </c>
      <c r="N723">
        <v>4</v>
      </c>
    </row>
    <row r="724" spans="1:14" x14ac:dyDescent="0.25">
      <c r="A724">
        <v>723</v>
      </c>
      <c r="B724">
        <v>18</v>
      </c>
      <c r="C724" t="s">
        <v>29</v>
      </c>
      <c r="D724" t="s">
        <v>15</v>
      </c>
      <c r="E724" t="s">
        <v>39</v>
      </c>
      <c r="F724" t="s">
        <v>42</v>
      </c>
      <c r="G724" s="4">
        <v>20</v>
      </c>
      <c r="H724" t="s">
        <v>26</v>
      </c>
      <c r="I724" s="4">
        <v>2698</v>
      </c>
      <c r="J724" t="s">
        <v>35</v>
      </c>
      <c r="K724" t="s">
        <v>34</v>
      </c>
      <c r="L724" t="s">
        <v>21</v>
      </c>
      <c r="M724" t="s">
        <v>22</v>
      </c>
      <c r="N724">
        <v>3</v>
      </c>
    </row>
    <row r="725" spans="1:14" x14ac:dyDescent="0.25">
      <c r="A725">
        <v>724</v>
      </c>
      <c r="B725">
        <v>22</v>
      </c>
      <c r="C725" t="s">
        <v>23</v>
      </c>
      <c r="D725" t="s">
        <v>36</v>
      </c>
      <c r="E725" t="s">
        <v>24</v>
      </c>
      <c r="F725" t="s">
        <v>45</v>
      </c>
      <c r="G725" s="4">
        <v>9</v>
      </c>
      <c r="H725" t="s">
        <v>26</v>
      </c>
      <c r="I725" s="4">
        <v>1352</v>
      </c>
      <c r="J725" t="s">
        <v>45</v>
      </c>
      <c r="K725" t="s">
        <v>38</v>
      </c>
      <c r="L725" t="s">
        <v>28</v>
      </c>
      <c r="M725" t="s">
        <v>22</v>
      </c>
      <c r="N725">
        <v>5</v>
      </c>
    </row>
    <row r="726" spans="1:14" x14ac:dyDescent="0.25">
      <c r="A726">
        <v>725</v>
      </c>
      <c r="B726">
        <v>35</v>
      </c>
      <c r="C726" t="s">
        <v>14</v>
      </c>
      <c r="D726" t="s">
        <v>32</v>
      </c>
      <c r="E726" t="s">
        <v>24</v>
      </c>
      <c r="F726" t="s">
        <v>42</v>
      </c>
      <c r="G726" s="4">
        <v>17</v>
      </c>
      <c r="H726" t="s">
        <v>46</v>
      </c>
      <c r="I726" s="4">
        <v>771</v>
      </c>
      <c r="J726" t="s">
        <v>19</v>
      </c>
      <c r="K726" t="s">
        <v>38</v>
      </c>
      <c r="L726" t="s">
        <v>21</v>
      </c>
      <c r="M726" t="s">
        <v>22</v>
      </c>
      <c r="N726">
        <v>4</v>
      </c>
    </row>
    <row r="727" spans="1:14" x14ac:dyDescent="0.25">
      <c r="A727">
        <v>726</v>
      </c>
      <c r="B727">
        <v>19</v>
      </c>
      <c r="C727" t="s">
        <v>14</v>
      </c>
      <c r="D727" t="s">
        <v>15</v>
      </c>
      <c r="E727" t="s">
        <v>16</v>
      </c>
      <c r="F727" t="s">
        <v>33</v>
      </c>
      <c r="G727" s="4">
        <v>27</v>
      </c>
      <c r="H727" t="s">
        <v>26</v>
      </c>
      <c r="I727" s="4">
        <v>2471</v>
      </c>
      <c r="J727" t="s">
        <v>35</v>
      </c>
      <c r="K727" t="s">
        <v>38</v>
      </c>
      <c r="L727" t="s">
        <v>21</v>
      </c>
      <c r="M727" t="s">
        <v>31</v>
      </c>
      <c r="N727">
        <v>4</v>
      </c>
    </row>
    <row r="728" spans="1:14" x14ac:dyDescent="0.25">
      <c r="A728">
        <v>727</v>
      </c>
      <c r="B728">
        <v>39</v>
      </c>
      <c r="C728" t="s">
        <v>14</v>
      </c>
      <c r="D728" t="s">
        <v>32</v>
      </c>
      <c r="E728" t="s">
        <v>24</v>
      </c>
      <c r="F728" t="s">
        <v>33</v>
      </c>
      <c r="G728" s="4">
        <v>21</v>
      </c>
      <c r="H728" t="s">
        <v>37</v>
      </c>
      <c r="I728" s="4">
        <v>286</v>
      </c>
      <c r="J728" t="s">
        <v>50</v>
      </c>
      <c r="K728" t="s">
        <v>20</v>
      </c>
      <c r="L728" t="s">
        <v>28</v>
      </c>
      <c r="M728" t="s">
        <v>22</v>
      </c>
      <c r="N728">
        <v>4</v>
      </c>
    </row>
    <row r="729" spans="1:14" x14ac:dyDescent="0.25">
      <c r="A729">
        <v>728</v>
      </c>
      <c r="B729">
        <v>21</v>
      </c>
      <c r="C729" t="s">
        <v>29</v>
      </c>
      <c r="D729" t="s">
        <v>36</v>
      </c>
      <c r="E729" t="s">
        <v>16</v>
      </c>
      <c r="F729" t="s">
        <v>42</v>
      </c>
      <c r="G729" s="4">
        <v>9</v>
      </c>
      <c r="H729" t="s">
        <v>40</v>
      </c>
      <c r="I729" s="4">
        <v>2197</v>
      </c>
      <c r="J729" t="s">
        <v>44</v>
      </c>
      <c r="K729" t="s">
        <v>38</v>
      </c>
      <c r="L729" t="s">
        <v>28</v>
      </c>
      <c r="M729" t="s">
        <v>31</v>
      </c>
      <c r="N729">
        <v>4</v>
      </c>
    </row>
    <row r="730" spans="1:14" x14ac:dyDescent="0.25">
      <c r="A730">
        <v>729</v>
      </c>
      <c r="B730">
        <v>40</v>
      </c>
      <c r="C730" t="s">
        <v>23</v>
      </c>
      <c r="D730" t="s">
        <v>36</v>
      </c>
      <c r="E730" t="s">
        <v>39</v>
      </c>
      <c r="F730" t="s">
        <v>45</v>
      </c>
      <c r="G730" s="4">
        <v>26</v>
      </c>
      <c r="H730" t="s">
        <v>40</v>
      </c>
      <c r="I730" s="4">
        <v>1944</v>
      </c>
      <c r="J730" t="s">
        <v>49</v>
      </c>
      <c r="K730" t="s">
        <v>34</v>
      </c>
      <c r="L730" t="s">
        <v>21</v>
      </c>
      <c r="M730" t="s">
        <v>22</v>
      </c>
      <c r="N730">
        <v>2</v>
      </c>
    </row>
    <row r="731" spans="1:14" x14ac:dyDescent="0.25">
      <c r="A731">
        <v>730</v>
      </c>
      <c r="B731">
        <v>22</v>
      </c>
      <c r="C731" t="s">
        <v>23</v>
      </c>
      <c r="D731" t="s">
        <v>15</v>
      </c>
      <c r="E731" t="s">
        <v>24</v>
      </c>
      <c r="F731" t="s">
        <v>30</v>
      </c>
      <c r="G731" s="4">
        <v>19</v>
      </c>
      <c r="H731" t="s">
        <v>43</v>
      </c>
      <c r="I731" s="4">
        <v>262</v>
      </c>
      <c r="J731" t="s">
        <v>49</v>
      </c>
      <c r="K731" t="s">
        <v>20</v>
      </c>
      <c r="L731" t="s">
        <v>21</v>
      </c>
      <c r="M731" t="s">
        <v>22</v>
      </c>
      <c r="N731">
        <v>4</v>
      </c>
    </row>
    <row r="732" spans="1:14" x14ac:dyDescent="0.25">
      <c r="A732">
        <v>731</v>
      </c>
      <c r="B732">
        <v>27</v>
      </c>
      <c r="C732" t="s">
        <v>23</v>
      </c>
      <c r="D732" t="s">
        <v>36</v>
      </c>
      <c r="E732" t="s">
        <v>39</v>
      </c>
      <c r="F732" t="s">
        <v>42</v>
      </c>
      <c r="G732" s="4">
        <v>25</v>
      </c>
      <c r="H732" t="s">
        <v>37</v>
      </c>
      <c r="I732" s="4">
        <v>1869</v>
      </c>
      <c r="J732" t="s">
        <v>45</v>
      </c>
      <c r="K732" t="s">
        <v>38</v>
      </c>
      <c r="L732" t="s">
        <v>21</v>
      </c>
      <c r="M732" t="s">
        <v>31</v>
      </c>
      <c r="N732">
        <v>3</v>
      </c>
    </row>
    <row r="733" spans="1:14" x14ac:dyDescent="0.25">
      <c r="A733">
        <v>732</v>
      </c>
      <c r="B733">
        <v>32</v>
      </c>
      <c r="C733" t="s">
        <v>23</v>
      </c>
      <c r="D733" t="s">
        <v>36</v>
      </c>
      <c r="E733" t="s">
        <v>16</v>
      </c>
      <c r="F733" t="s">
        <v>42</v>
      </c>
      <c r="G733" s="4">
        <v>17</v>
      </c>
      <c r="H733" t="s">
        <v>47</v>
      </c>
      <c r="I733" s="4">
        <v>2699</v>
      </c>
      <c r="J733" t="s">
        <v>27</v>
      </c>
      <c r="K733" t="s">
        <v>38</v>
      </c>
      <c r="L733" t="s">
        <v>28</v>
      </c>
      <c r="M733" t="s">
        <v>31</v>
      </c>
      <c r="N733">
        <v>2</v>
      </c>
    </row>
    <row r="734" spans="1:14" x14ac:dyDescent="0.25">
      <c r="A734">
        <v>733</v>
      </c>
      <c r="B734">
        <v>39</v>
      </c>
      <c r="C734" t="s">
        <v>29</v>
      </c>
      <c r="D734" t="s">
        <v>32</v>
      </c>
      <c r="E734" t="s">
        <v>24</v>
      </c>
      <c r="F734" t="s">
        <v>33</v>
      </c>
      <c r="G734" s="4">
        <v>7</v>
      </c>
      <c r="H734" t="s">
        <v>34</v>
      </c>
      <c r="I734" s="4">
        <v>2859</v>
      </c>
      <c r="J734" t="s">
        <v>19</v>
      </c>
      <c r="K734" t="s">
        <v>48</v>
      </c>
      <c r="L734" t="s">
        <v>28</v>
      </c>
      <c r="M734" t="s">
        <v>31</v>
      </c>
      <c r="N734">
        <v>2</v>
      </c>
    </row>
    <row r="735" spans="1:14" x14ac:dyDescent="0.25">
      <c r="A735">
        <v>734</v>
      </c>
      <c r="B735">
        <v>32</v>
      </c>
      <c r="C735" t="s">
        <v>23</v>
      </c>
      <c r="D735" t="s">
        <v>15</v>
      </c>
      <c r="E735" t="s">
        <v>39</v>
      </c>
      <c r="F735" t="s">
        <v>33</v>
      </c>
      <c r="G735" s="4">
        <v>10</v>
      </c>
      <c r="H735" t="s">
        <v>18</v>
      </c>
      <c r="I735" s="4">
        <v>1035</v>
      </c>
      <c r="J735" t="s">
        <v>49</v>
      </c>
      <c r="K735" t="s">
        <v>20</v>
      </c>
      <c r="L735" t="s">
        <v>28</v>
      </c>
      <c r="M735" t="s">
        <v>31</v>
      </c>
      <c r="N735">
        <v>2</v>
      </c>
    </row>
    <row r="736" spans="1:14" x14ac:dyDescent="0.25">
      <c r="A736">
        <v>735</v>
      </c>
      <c r="B736">
        <v>24</v>
      </c>
      <c r="C736" t="s">
        <v>29</v>
      </c>
      <c r="D736" t="s">
        <v>15</v>
      </c>
      <c r="E736" t="s">
        <v>24</v>
      </c>
      <c r="F736" t="s">
        <v>25</v>
      </c>
      <c r="G736" s="4">
        <v>17</v>
      </c>
      <c r="H736" t="s">
        <v>34</v>
      </c>
      <c r="I736" s="4">
        <v>154</v>
      </c>
      <c r="J736" t="s">
        <v>49</v>
      </c>
      <c r="K736" t="s">
        <v>20</v>
      </c>
      <c r="L736" t="s">
        <v>28</v>
      </c>
      <c r="M736" t="s">
        <v>22</v>
      </c>
      <c r="N736">
        <v>1</v>
      </c>
    </row>
    <row r="737" spans="1:14" x14ac:dyDescent="0.25">
      <c r="A737">
        <v>736</v>
      </c>
      <c r="B737">
        <v>20</v>
      </c>
      <c r="C737" t="s">
        <v>23</v>
      </c>
      <c r="D737" t="s">
        <v>32</v>
      </c>
      <c r="E737" t="s">
        <v>16</v>
      </c>
      <c r="F737" t="s">
        <v>42</v>
      </c>
      <c r="G737" s="4">
        <v>22</v>
      </c>
      <c r="H737" t="s">
        <v>46</v>
      </c>
      <c r="I737" s="4">
        <v>2691</v>
      </c>
      <c r="J737" t="s">
        <v>44</v>
      </c>
      <c r="K737" t="s">
        <v>38</v>
      </c>
      <c r="L737" t="s">
        <v>21</v>
      </c>
      <c r="M737" t="s">
        <v>22</v>
      </c>
      <c r="N737">
        <v>2</v>
      </c>
    </row>
    <row r="738" spans="1:14" x14ac:dyDescent="0.25">
      <c r="A738">
        <v>737</v>
      </c>
      <c r="B738">
        <v>23</v>
      </c>
      <c r="C738" t="s">
        <v>23</v>
      </c>
      <c r="D738" t="s">
        <v>32</v>
      </c>
      <c r="E738" t="s">
        <v>16</v>
      </c>
      <c r="F738" t="s">
        <v>33</v>
      </c>
      <c r="G738" s="4">
        <v>14</v>
      </c>
      <c r="H738" t="s">
        <v>47</v>
      </c>
      <c r="I738" s="4">
        <v>508</v>
      </c>
      <c r="J738" t="s">
        <v>35</v>
      </c>
      <c r="K738" t="s">
        <v>38</v>
      </c>
      <c r="L738" t="s">
        <v>28</v>
      </c>
      <c r="M738" t="s">
        <v>31</v>
      </c>
      <c r="N738">
        <v>5</v>
      </c>
    </row>
    <row r="739" spans="1:14" x14ac:dyDescent="0.25">
      <c r="A739">
        <v>738</v>
      </c>
      <c r="B739">
        <v>23</v>
      </c>
      <c r="C739" t="s">
        <v>23</v>
      </c>
      <c r="D739" t="s">
        <v>36</v>
      </c>
      <c r="E739" t="s">
        <v>16</v>
      </c>
      <c r="F739" t="s">
        <v>42</v>
      </c>
      <c r="G739" s="4">
        <v>11</v>
      </c>
      <c r="H739" t="s">
        <v>47</v>
      </c>
      <c r="I739" s="4">
        <v>2926</v>
      </c>
      <c r="J739" t="s">
        <v>19</v>
      </c>
      <c r="K739" t="s">
        <v>20</v>
      </c>
      <c r="L739" t="s">
        <v>28</v>
      </c>
      <c r="M739" t="s">
        <v>31</v>
      </c>
      <c r="N739">
        <v>1</v>
      </c>
    </row>
    <row r="740" spans="1:14" x14ac:dyDescent="0.25">
      <c r="A740">
        <v>739</v>
      </c>
      <c r="B740">
        <v>19</v>
      </c>
      <c r="C740" t="s">
        <v>29</v>
      </c>
      <c r="D740" t="s">
        <v>15</v>
      </c>
      <c r="E740" t="s">
        <v>16</v>
      </c>
      <c r="F740" t="s">
        <v>30</v>
      </c>
      <c r="G740" s="4">
        <v>24</v>
      </c>
      <c r="H740" t="s">
        <v>40</v>
      </c>
      <c r="I740" s="4">
        <v>19</v>
      </c>
      <c r="J740" t="s">
        <v>27</v>
      </c>
      <c r="K740" t="s">
        <v>48</v>
      </c>
      <c r="L740" t="s">
        <v>21</v>
      </c>
      <c r="M740" t="s">
        <v>31</v>
      </c>
      <c r="N740">
        <v>1</v>
      </c>
    </row>
    <row r="741" spans="1:14" x14ac:dyDescent="0.25">
      <c r="A741">
        <v>740</v>
      </c>
      <c r="B741">
        <v>18</v>
      </c>
      <c r="C741" t="s">
        <v>23</v>
      </c>
      <c r="D741" t="s">
        <v>36</v>
      </c>
      <c r="E741" t="s">
        <v>16</v>
      </c>
      <c r="F741" t="s">
        <v>25</v>
      </c>
      <c r="G741" s="4">
        <v>5</v>
      </c>
      <c r="H741" t="s">
        <v>18</v>
      </c>
      <c r="I741" s="4">
        <v>1380</v>
      </c>
      <c r="J741" t="s">
        <v>44</v>
      </c>
      <c r="K741" t="s">
        <v>38</v>
      </c>
      <c r="L741" t="s">
        <v>21</v>
      </c>
      <c r="M741" t="s">
        <v>31</v>
      </c>
      <c r="N741">
        <v>2</v>
      </c>
    </row>
    <row r="742" spans="1:14" x14ac:dyDescent="0.25">
      <c r="A742">
        <v>741</v>
      </c>
      <c r="B742">
        <v>34</v>
      </c>
      <c r="C742" t="s">
        <v>23</v>
      </c>
      <c r="D742" t="s">
        <v>36</v>
      </c>
      <c r="E742" t="s">
        <v>16</v>
      </c>
      <c r="F742" t="s">
        <v>45</v>
      </c>
      <c r="G742" s="4">
        <v>8</v>
      </c>
      <c r="H742" t="s">
        <v>40</v>
      </c>
      <c r="I742" s="4">
        <v>1339</v>
      </c>
      <c r="J742" t="s">
        <v>45</v>
      </c>
      <c r="K742" t="s">
        <v>20</v>
      </c>
      <c r="L742" t="s">
        <v>21</v>
      </c>
      <c r="M742" t="s">
        <v>22</v>
      </c>
      <c r="N742">
        <v>3</v>
      </c>
    </row>
    <row r="743" spans="1:14" x14ac:dyDescent="0.25">
      <c r="A743">
        <v>742</v>
      </c>
      <c r="B743">
        <v>24</v>
      </c>
      <c r="C743" t="s">
        <v>14</v>
      </c>
      <c r="D743" t="s">
        <v>15</v>
      </c>
      <c r="E743" t="s">
        <v>39</v>
      </c>
      <c r="F743" t="s">
        <v>17</v>
      </c>
      <c r="G743" s="4">
        <v>8</v>
      </c>
      <c r="H743" t="s">
        <v>34</v>
      </c>
      <c r="I743" s="4">
        <v>1460</v>
      </c>
      <c r="J743" t="s">
        <v>41</v>
      </c>
      <c r="K743" t="s">
        <v>20</v>
      </c>
      <c r="L743" t="s">
        <v>21</v>
      </c>
      <c r="M743" t="s">
        <v>31</v>
      </c>
      <c r="N743">
        <v>3</v>
      </c>
    </row>
    <row r="744" spans="1:14" x14ac:dyDescent="0.25">
      <c r="A744">
        <v>743</v>
      </c>
      <c r="B744">
        <v>25</v>
      </c>
      <c r="C744" t="s">
        <v>23</v>
      </c>
      <c r="D744" t="s">
        <v>36</v>
      </c>
      <c r="E744" t="s">
        <v>39</v>
      </c>
      <c r="F744" t="s">
        <v>33</v>
      </c>
      <c r="G744" s="4">
        <v>7</v>
      </c>
      <c r="H744" t="s">
        <v>18</v>
      </c>
      <c r="I744" s="4">
        <v>2695</v>
      </c>
      <c r="J744" t="s">
        <v>27</v>
      </c>
      <c r="K744" t="s">
        <v>20</v>
      </c>
      <c r="L744" t="s">
        <v>28</v>
      </c>
      <c r="M744" t="s">
        <v>31</v>
      </c>
      <c r="N744">
        <v>3</v>
      </c>
    </row>
    <row r="745" spans="1:14" x14ac:dyDescent="0.25">
      <c r="A745">
        <v>744</v>
      </c>
      <c r="B745">
        <v>21</v>
      </c>
      <c r="C745" t="s">
        <v>14</v>
      </c>
      <c r="D745" t="s">
        <v>32</v>
      </c>
      <c r="E745" t="s">
        <v>16</v>
      </c>
      <c r="F745" t="s">
        <v>45</v>
      </c>
      <c r="G745" s="4">
        <v>27</v>
      </c>
      <c r="H745" t="s">
        <v>34</v>
      </c>
      <c r="I745" s="4">
        <v>2196</v>
      </c>
      <c r="J745" t="s">
        <v>45</v>
      </c>
      <c r="K745" t="s">
        <v>38</v>
      </c>
      <c r="L745" t="s">
        <v>28</v>
      </c>
      <c r="M745" t="s">
        <v>22</v>
      </c>
      <c r="N745">
        <v>5</v>
      </c>
    </row>
    <row r="746" spans="1:14" x14ac:dyDescent="0.25">
      <c r="A746">
        <v>745</v>
      </c>
      <c r="B746">
        <v>38</v>
      </c>
      <c r="C746" t="s">
        <v>23</v>
      </c>
      <c r="D746" t="s">
        <v>32</v>
      </c>
      <c r="E746" t="s">
        <v>16</v>
      </c>
      <c r="F746" t="s">
        <v>30</v>
      </c>
      <c r="G746" s="4">
        <v>29</v>
      </c>
      <c r="H746" t="s">
        <v>47</v>
      </c>
      <c r="I746" s="4">
        <v>2816</v>
      </c>
      <c r="J746" t="s">
        <v>49</v>
      </c>
      <c r="K746" t="s">
        <v>20</v>
      </c>
      <c r="L746" t="s">
        <v>21</v>
      </c>
      <c r="M746" t="s">
        <v>22</v>
      </c>
      <c r="N746">
        <v>3</v>
      </c>
    </row>
    <row r="747" spans="1:14" x14ac:dyDescent="0.25">
      <c r="A747">
        <v>746</v>
      </c>
      <c r="B747">
        <v>25</v>
      </c>
      <c r="C747" t="s">
        <v>29</v>
      </c>
      <c r="D747" t="s">
        <v>15</v>
      </c>
      <c r="E747" t="s">
        <v>24</v>
      </c>
      <c r="F747" t="s">
        <v>42</v>
      </c>
      <c r="G747" s="4">
        <v>5</v>
      </c>
      <c r="H747" t="s">
        <v>40</v>
      </c>
      <c r="I747" s="4">
        <v>2524</v>
      </c>
      <c r="J747" t="s">
        <v>19</v>
      </c>
      <c r="K747" t="s">
        <v>48</v>
      </c>
      <c r="L747" t="s">
        <v>21</v>
      </c>
      <c r="M747" t="s">
        <v>31</v>
      </c>
      <c r="N747">
        <v>1</v>
      </c>
    </row>
    <row r="748" spans="1:14" x14ac:dyDescent="0.25">
      <c r="A748">
        <v>747</v>
      </c>
      <c r="B748">
        <v>33</v>
      </c>
      <c r="C748" t="s">
        <v>29</v>
      </c>
      <c r="D748" t="s">
        <v>15</v>
      </c>
      <c r="E748" t="s">
        <v>24</v>
      </c>
      <c r="F748" t="s">
        <v>33</v>
      </c>
      <c r="G748" s="4">
        <v>14</v>
      </c>
      <c r="H748" t="s">
        <v>40</v>
      </c>
      <c r="I748" s="4">
        <v>827</v>
      </c>
      <c r="J748" t="s">
        <v>49</v>
      </c>
      <c r="K748" t="s">
        <v>34</v>
      </c>
      <c r="L748" t="s">
        <v>21</v>
      </c>
      <c r="M748" t="s">
        <v>31</v>
      </c>
      <c r="N748">
        <v>2</v>
      </c>
    </row>
    <row r="749" spans="1:14" x14ac:dyDescent="0.25">
      <c r="A749">
        <v>748</v>
      </c>
      <c r="B749">
        <v>28</v>
      </c>
      <c r="C749" t="s">
        <v>29</v>
      </c>
      <c r="D749" t="s">
        <v>36</v>
      </c>
      <c r="E749" t="s">
        <v>39</v>
      </c>
      <c r="F749" t="s">
        <v>33</v>
      </c>
      <c r="G749" s="4">
        <v>25</v>
      </c>
      <c r="H749" t="s">
        <v>40</v>
      </c>
      <c r="I749" s="4">
        <v>162</v>
      </c>
      <c r="J749" t="s">
        <v>50</v>
      </c>
      <c r="K749" t="s">
        <v>34</v>
      </c>
      <c r="L749" t="s">
        <v>21</v>
      </c>
      <c r="M749" t="s">
        <v>22</v>
      </c>
      <c r="N749">
        <v>5</v>
      </c>
    </row>
    <row r="750" spans="1:14" x14ac:dyDescent="0.25">
      <c r="A750">
        <v>749</v>
      </c>
      <c r="B750">
        <v>35</v>
      </c>
      <c r="C750" t="s">
        <v>23</v>
      </c>
      <c r="D750" t="s">
        <v>36</v>
      </c>
      <c r="E750" t="s">
        <v>24</v>
      </c>
      <c r="F750" t="s">
        <v>25</v>
      </c>
      <c r="G750" s="4">
        <v>6</v>
      </c>
      <c r="H750" t="s">
        <v>26</v>
      </c>
      <c r="I750" s="4">
        <v>2723</v>
      </c>
      <c r="J750" t="s">
        <v>50</v>
      </c>
      <c r="K750" t="s">
        <v>38</v>
      </c>
      <c r="L750" t="s">
        <v>28</v>
      </c>
      <c r="M750" t="s">
        <v>22</v>
      </c>
      <c r="N750">
        <v>2</v>
      </c>
    </row>
    <row r="751" spans="1:14" x14ac:dyDescent="0.25">
      <c r="A751">
        <v>750</v>
      </c>
      <c r="B751">
        <v>20</v>
      </c>
      <c r="C751" t="s">
        <v>14</v>
      </c>
      <c r="D751" t="s">
        <v>36</v>
      </c>
      <c r="E751" t="s">
        <v>16</v>
      </c>
      <c r="F751" t="s">
        <v>25</v>
      </c>
      <c r="G751" s="4">
        <v>20</v>
      </c>
      <c r="H751" t="s">
        <v>37</v>
      </c>
      <c r="I751" s="4">
        <v>286</v>
      </c>
      <c r="J751" t="s">
        <v>19</v>
      </c>
      <c r="K751" t="s">
        <v>38</v>
      </c>
      <c r="L751" t="s">
        <v>21</v>
      </c>
      <c r="M751" t="s">
        <v>22</v>
      </c>
      <c r="N751">
        <v>2</v>
      </c>
    </row>
    <row r="752" spans="1:14" x14ac:dyDescent="0.25">
      <c r="A752">
        <v>751</v>
      </c>
      <c r="B752">
        <v>34</v>
      </c>
      <c r="C752" t="s">
        <v>29</v>
      </c>
      <c r="D752" t="s">
        <v>15</v>
      </c>
      <c r="E752" t="s">
        <v>24</v>
      </c>
      <c r="F752" t="s">
        <v>25</v>
      </c>
      <c r="G752" s="4">
        <v>7</v>
      </c>
      <c r="H752" t="s">
        <v>40</v>
      </c>
      <c r="I752" s="4">
        <v>1745</v>
      </c>
      <c r="J752" t="s">
        <v>45</v>
      </c>
      <c r="K752" t="s">
        <v>38</v>
      </c>
      <c r="L752" t="s">
        <v>21</v>
      </c>
      <c r="M752" t="s">
        <v>31</v>
      </c>
      <c r="N752">
        <v>4</v>
      </c>
    </row>
    <row r="753" spans="1:14" x14ac:dyDescent="0.25">
      <c r="A753">
        <v>752</v>
      </c>
      <c r="B753">
        <v>27</v>
      </c>
      <c r="C753" t="s">
        <v>29</v>
      </c>
      <c r="D753" t="s">
        <v>32</v>
      </c>
      <c r="E753" t="s">
        <v>16</v>
      </c>
      <c r="F753" t="s">
        <v>30</v>
      </c>
      <c r="G753" s="4">
        <v>23</v>
      </c>
      <c r="H753" t="s">
        <v>26</v>
      </c>
      <c r="I753" s="4">
        <v>1836</v>
      </c>
      <c r="J753" t="s">
        <v>45</v>
      </c>
      <c r="K753" t="s">
        <v>38</v>
      </c>
      <c r="L753" t="s">
        <v>28</v>
      </c>
      <c r="M753" t="s">
        <v>31</v>
      </c>
      <c r="N753">
        <v>2</v>
      </c>
    </row>
    <row r="754" spans="1:14" x14ac:dyDescent="0.25">
      <c r="A754">
        <v>753</v>
      </c>
      <c r="B754">
        <v>31</v>
      </c>
      <c r="C754" t="s">
        <v>14</v>
      </c>
      <c r="D754" t="s">
        <v>32</v>
      </c>
      <c r="E754" t="s">
        <v>16</v>
      </c>
      <c r="F754" t="s">
        <v>42</v>
      </c>
      <c r="G754" s="4">
        <v>21</v>
      </c>
      <c r="H754" t="s">
        <v>26</v>
      </c>
      <c r="I754" s="4">
        <v>2496</v>
      </c>
      <c r="J754" t="s">
        <v>19</v>
      </c>
      <c r="K754" t="s">
        <v>34</v>
      </c>
      <c r="L754" t="s">
        <v>21</v>
      </c>
      <c r="M754" t="s">
        <v>22</v>
      </c>
      <c r="N754">
        <v>4</v>
      </c>
    </row>
    <row r="755" spans="1:14" x14ac:dyDescent="0.25">
      <c r="A755">
        <v>754</v>
      </c>
      <c r="B755">
        <v>26</v>
      </c>
      <c r="C755" t="s">
        <v>29</v>
      </c>
      <c r="D755" t="s">
        <v>32</v>
      </c>
      <c r="E755" t="s">
        <v>39</v>
      </c>
      <c r="F755" t="s">
        <v>45</v>
      </c>
      <c r="G755" s="4">
        <v>17</v>
      </c>
      <c r="H755" t="s">
        <v>43</v>
      </c>
      <c r="I755" s="4">
        <v>1899</v>
      </c>
      <c r="J755" t="s">
        <v>19</v>
      </c>
      <c r="K755" t="s">
        <v>34</v>
      </c>
      <c r="L755" t="s">
        <v>21</v>
      </c>
      <c r="M755" t="s">
        <v>31</v>
      </c>
      <c r="N755">
        <v>3</v>
      </c>
    </row>
    <row r="756" spans="1:14" x14ac:dyDescent="0.25">
      <c r="A756">
        <v>755</v>
      </c>
      <c r="B756">
        <v>24</v>
      </c>
      <c r="C756" t="s">
        <v>14</v>
      </c>
      <c r="D756" t="s">
        <v>36</v>
      </c>
      <c r="E756" t="s">
        <v>24</v>
      </c>
      <c r="F756" t="s">
        <v>17</v>
      </c>
      <c r="G756" s="4">
        <v>9</v>
      </c>
      <c r="H756" t="s">
        <v>34</v>
      </c>
      <c r="I756" s="4">
        <v>776</v>
      </c>
      <c r="J756" t="s">
        <v>49</v>
      </c>
      <c r="K756" t="s">
        <v>20</v>
      </c>
      <c r="L756" t="s">
        <v>28</v>
      </c>
      <c r="M756" t="s">
        <v>31</v>
      </c>
      <c r="N756">
        <v>1</v>
      </c>
    </row>
    <row r="757" spans="1:14" x14ac:dyDescent="0.25">
      <c r="A757">
        <v>756</v>
      </c>
      <c r="B757">
        <v>29</v>
      </c>
      <c r="C757" t="s">
        <v>23</v>
      </c>
      <c r="D757" t="s">
        <v>36</v>
      </c>
      <c r="E757" t="s">
        <v>16</v>
      </c>
      <c r="F757" t="s">
        <v>42</v>
      </c>
      <c r="G757" s="4">
        <v>17</v>
      </c>
      <c r="H757" t="s">
        <v>47</v>
      </c>
      <c r="I757" s="4">
        <v>2005</v>
      </c>
      <c r="J757" t="s">
        <v>19</v>
      </c>
      <c r="K757" t="s">
        <v>20</v>
      </c>
      <c r="L757" t="s">
        <v>21</v>
      </c>
      <c r="M757" t="s">
        <v>22</v>
      </c>
      <c r="N757">
        <v>3</v>
      </c>
    </row>
    <row r="758" spans="1:14" x14ac:dyDescent="0.25">
      <c r="A758">
        <v>757</v>
      </c>
      <c r="B758">
        <v>31</v>
      </c>
      <c r="C758" t="s">
        <v>23</v>
      </c>
      <c r="D758" t="s">
        <v>36</v>
      </c>
      <c r="E758" t="s">
        <v>39</v>
      </c>
      <c r="F758" t="s">
        <v>17</v>
      </c>
      <c r="G758" s="4">
        <v>13</v>
      </c>
      <c r="H758" t="s">
        <v>34</v>
      </c>
      <c r="I758" s="4">
        <v>2958</v>
      </c>
      <c r="J758" t="s">
        <v>41</v>
      </c>
      <c r="K758" t="s">
        <v>20</v>
      </c>
      <c r="L758" t="s">
        <v>28</v>
      </c>
      <c r="M758" t="s">
        <v>22</v>
      </c>
      <c r="N758">
        <v>3</v>
      </c>
    </row>
    <row r="759" spans="1:14" x14ac:dyDescent="0.25">
      <c r="A759">
        <v>758</v>
      </c>
      <c r="B759">
        <v>25</v>
      </c>
      <c r="C759" t="s">
        <v>23</v>
      </c>
      <c r="D759" t="s">
        <v>36</v>
      </c>
      <c r="E759" t="s">
        <v>24</v>
      </c>
      <c r="F759" t="s">
        <v>33</v>
      </c>
      <c r="G759" s="4">
        <v>20</v>
      </c>
      <c r="H759" t="s">
        <v>37</v>
      </c>
      <c r="I759" s="4">
        <v>141</v>
      </c>
      <c r="J759" t="s">
        <v>35</v>
      </c>
      <c r="K759" t="s">
        <v>20</v>
      </c>
      <c r="L759" t="s">
        <v>21</v>
      </c>
      <c r="M759" t="s">
        <v>31</v>
      </c>
      <c r="N759">
        <v>3</v>
      </c>
    </row>
    <row r="760" spans="1:14" x14ac:dyDescent="0.25">
      <c r="A760">
        <v>759</v>
      </c>
      <c r="B760">
        <v>25</v>
      </c>
      <c r="C760" t="s">
        <v>14</v>
      </c>
      <c r="D760" t="s">
        <v>15</v>
      </c>
      <c r="E760" t="s">
        <v>16</v>
      </c>
      <c r="F760" t="s">
        <v>17</v>
      </c>
      <c r="G760" s="4">
        <v>24</v>
      </c>
      <c r="H760" t="s">
        <v>26</v>
      </c>
      <c r="I760" s="4">
        <v>2368</v>
      </c>
      <c r="J760" t="s">
        <v>45</v>
      </c>
      <c r="K760" t="s">
        <v>48</v>
      </c>
      <c r="L760" t="s">
        <v>21</v>
      </c>
      <c r="M760" t="s">
        <v>31</v>
      </c>
      <c r="N760">
        <v>2</v>
      </c>
    </row>
    <row r="761" spans="1:14" x14ac:dyDescent="0.25">
      <c r="A761">
        <v>760</v>
      </c>
      <c r="B761">
        <v>23</v>
      </c>
      <c r="C761" t="s">
        <v>23</v>
      </c>
      <c r="D761" t="s">
        <v>36</v>
      </c>
      <c r="E761" t="s">
        <v>24</v>
      </c>
      <c r="F761" t="s">
        <v>42</v>
      </c>
      <c r="G761" s="4">
        <v>18</v>
      </c>
      <c r="H761" t="s">
        <v>46</v>
      </c>
      <c r="I761" s="4">
        <v>1035</v>
      </c>
      <c r="J761" t="s">
        <v>45</v>
      </c>
      <c r="K761" t="s">
        <v>48</v>
      </c>
      <c r="L761" t="s">
        <v>21</v>
      </c>
      <c r="M761" t="s">
        <v>31</v>
      </c>
      <c r="N761">
        <v>3</v>
      </c>
    </row>
    <row r="762" spans="1:14" x14ac:dyDescent="0.25">
      <c r="A762">
        <v>761</v>
      </c>
      <c r="B762">
        <v>22</v>
      </c>
      <c r="C762" t="s">
        <v>23</v>
      </c>
      <c r="D762" t="s">
        <v>32</v>
      </c>
      <c r="E762" t="s">
        <v>16</v>
      </c>
      <c r="F762" t="s">
        <v>25</v>
      </c>
      <c r="G762" s="4">
        <v>13</v>
      </c>
      <c r="H762" t="s">
        <v>43</v>
      </c>
      <c r="I762" s="4">
        <v>858</v>
      </c>
      <c r="J762" t="s">
        <v>41</v>
      </c>
      <c r="K762" t="s">
        <v>48</v>
      </c>
      <c r="L762" t="s">
        <v>21</v>
      </c>
      <c r="M762" t="s">
        <v>31</v>
      </c>
      <c r="N762">
        <v>4</v>
      </c>
    </row>
    <row r="763" spans="1:14" x14ac:dyDescent="0.25">
      <c r="A763">
        <v>762</v>
      </c>
      <c r="B763">
        <v>34</v>
      </c>
      <c r="C763" t="s">
        <v>23</v>
      </c>
      <c r="D763" t="s">
        <v>32</v>
      </c>
      <c r="E763" t="s">
        <v>16</v>
      </c>
      <c r="F763" t="s">
        <v>25</v>
      </c>
      <c r="G763" s="4">
        <v>18</v>
      </c>
      <c r="H763" t="s">
        <v>34</v>
      </c>
      <c r="I763" s="4">
        <v>2680</v>
      </c>
      <c r="J763" t="s">
        <v>44</v>
      </c>
      <c r="K763" t="s">
        <v>38</v>
      </c>
      <c r="L763" t="s">
        <v>21</v>
      </c>
      <c r="M763" t="s">
        <v>31</v>
      </c>
      <c r="N763">
        <v>3</v>
      </c>
    </row>
    <row r="764" spans="1:14" x14ac:dyDescent="0.25">
      <c r="A764">
        <v>763</v>
      </c>
      <c r="B764">
        <v>23</v>
      </c>
      <c r="C764" t="s">
        <v>23</v>
      </c>
      <c r="D764" t="s">
        <v>15</v>
      </c>
      <c r="E764" t="s">
        <v>16</v>
      </c>
      <c r="F764" t="s">
        <v>25</v>
      </c>
      <c r="G764" s="4">
        <v>21</v>
      </c>
      <c r="H764" t="s">
        <v>47</v>
      </c>
      <c r="I764" s="4">
        <v>451</v>
      </c>
      <c r="J764" t="s">
        <v>44</v>
      </c>
      <c r="K764" t="s">
        <v>38</v>
      </c>
      <c r="L764" t="s">
        <v>28</v>
      </c>
      <c r="M764" t="s">
        <v>31</v>
      </c>
      <c r="N764">
        <v>4</v>
      </c>
    </row>
    <row r="765" spans="1:14" x14ac:dyDescent="0.25">
      <c r="A765">
        <v>764</v>
      </c>
      <c r="B765">
        <v>32</v>
      </c>
      <c r="C765" t="s">
        <v>23</v>
      </c>
      <c r="D765" t="s">
        <v>15</v>
      </c>
      <c r="E765" t="s">
        <v>16</v>
      </c>
      <c r="F765" t="s">
        <v>30</v>
      </c>
      <c r="G765" s="4">
        <v>25</v>
      </c>
      <c r="H765" t="s">
        <v>18</v>
      </c>
      <c r="I765" s="4">
        <v>2557</v>
      </c>
      <c r="J765" t="s">
        <v>45</v>
      </c>
      <c r="K765" t="s">
        <v>48</v>
      </c>
      <c r="L765" t="s">
        <v>28</v>
      </c>
      <c r="M765" t="s">
        <v>22</v>
      </c>
      <c r="N765">
        <v>1</v>
      </c>
    </row>
    <row r="766" spans="1:14" x14ac:dyDescent="0.25">
      <c r="A766">
        <v>765</v>
      </c>
      <c r="B766">
        <v>28</v>
      </c>
      <c r="C766" t="s">
        <v>29</v>
      </c>
      <c r="D766" t="s">
        <v>32</v>
      </c>
      <c r="E766" t="s">
        <v>24</v>
      </c>
      <c r="F766" t="s">
        <v>33</v>
      </c>
      <c r="G766" s="4">
        <v>5</v>
      </c>
      <c r="H766" t="s">
        <v>47</v>
      </c>
      <c r="I766" s="4">
        <v>2398</v>
      </c>
      <c r="J766" t="s">
        <v>41</v>
      </c>
      <c r="K766" t="s">
        <v>34</v>
      </c>
      <c r="L766" t="s">
        <v>21</v>
      </c>
      <c r="M766" t="s">
        <v>22</v>
      </c>
      <c r="N766">
        <v>2</v>
      </c>
    </row>
    <row r="767" spans="1:14" x14ac:dyDescent="0.25">
      <c r="A767">
        <v>766</v>
      </c>
      <c r="B767">
        <v>21</v>
      </c>
      <c r="C767" t="s">
        <v>29</v>
      </c>
      <c r="D767" t="s">
        <v>36</v>
      </c>
      <c r="E767" t="s">
        <v>24</v>
      </c>
      <c r="F767" t="s">
        <v>30</v>
      </c>
      <c r="G767" s="4">
        <v>11</v>
      </c>
      <c r="H767" t="s">
        <v>43</v>
      </c>
      <c r="I767" s="4">
        <v>2139</v>
      </c>
      <c r="J767" t="s">
        <v>49</v>
      </c>
      <c r="K767" t="s">
        <v>34</v>
      </c>
      <c r="L767" t="s">
        <v>28</v>
      </c>
      <c r="M767" t="s">
        <v>31</v>
      </c>
      <c r="N767">
        <v>1</v>
      </c>
    </row>
    <row r="768" spans="1:14" x14ac:dyDescent="0.25">
      <c r="A768">
        <v>767</v>
      </c>
      <c r="B768">
        <v>29</v>
      </c>
      <c r="C768" t="s">
        <v>14</v>
      </c>
      <c r="D768" t="s">
        <v>32</v>
      </c>
      <c r="E768" t="s">
        <v>24</v>
      </c>
      <c r="F768" t="s">
        <v>42</v>
      </c>
      <c r="G768" s="4">
        <v>26</v>
      </c>
      <c r="H768" t="s">
        <v>26</v>
      </c>
      <c r="I768" s="4">
        <v>1405</v>
      </c>
      <c r="J768" t="s">
        <v>41</v>
      </c>
      <c r="K768" t="s">
        <v>34</v>
      </c>
      <c r="L768" t="s">
        <v>28</v>
      </c>
      <c r="M768" t="s">
        <v>22</v>
      </c>
      <c r="N768">
        <v>3</v>
      </c>
    </row>
    <row r="769" spans="1:14" x14ac:dyDescent="0.25">
      <c r="A769">
        <v>768</v>
      </c>
      <c r="B769">
        <v>18</v>
      </c>
      <c r="C769" t="s">
        <v>23</v>
      </c>
      <c r="D769" t="s">
        <v>15</v>
      </c>
      <c r="E769" t="s">
        <v>16</v>
      </c>
      <c r="F769" t="s">
        <v>45</v>
      </c>
      <c r="G769" s="4">
        <v>19</v>
      </c>
      <c r="H769" t="s">
        <v>18</v>
      </c>
      <c r="I769" s="4">
        <v>2860</v>
      </c>
      <c r="J769" t="s">
        <v>35</v>
      </c>
      <c r="K769" t="s">
        <v>38</v>
      </c>
      <c r="L769" t="s">
        <v>28</v>
      </c>
      <c r="M769" t="s">
        <v>31</v>
      </c>
      <c r="N769">
        <v>4</v>
      </c>
    </row>
    <row r="770" spans="1:14" x14ac:dyDescent="0.25">
      <c r="A770">
        <v>769</v>
      </c>
      <c r="B770">
        <v>37</v>
      </c>
      <c r="C770" t="s">
        <v>23</v>
      </c>
      <c r="D770" t="s">
        <v>32</v>
      </c>
      <c r="E770" t="s">
        <v>24</v>
      </c>
      <c r="F770" t="s">
        <v>25</v>
      </c>
      <c r="G770" s="4">
        <v>26</v>
      </c>
      <c r="H770" t="s">
        <v>47</v>
      </c>
      <c r="I770" s="4">
        <v>2698</v>
      </c>
      <c r="J770" t="s">
        <v>50</v>
      </c>
      <c r="K770" t="s">
        <v>48</v>
      </c>
      <c r="L770" t="s">
        <v>28</v>
      </c>
      <c r="M770" t="s">
        <v>22</v>
      </c>
      <c r="N770">
        <v>4</v>
      </c>
    </row>
    <row r="771" spans="1:14" x14ac:dyDescent="0.25">
      <c r="A771">
        <v>770</v>
      </c>
      <c r="B771">
        <v>28</v>
      </c>
      <c r="C771" t="s">
        <v>23</v>
      </c>
      <c r="D771" t="s">
        <v>32</v>
      </c>
      <c r="E771" t="s">
        <v>39</v>
      </c>
      <c r="F771" t="s">
        <v>17</v>
      </c>
      <c r="G771" s="4">
        <v>26</v>
      </c>
      <c r="H771" t="s">
        <v>18</v>
      </c>
      <c r="I771" s="4">
        <v>1819</v>
      </c>
      <c r="J771" t="s">
        <v>50</v>
      </c>
      <c r="K771" t="s">
        <v>20</v>
      </c>
      <c r="L771" t="s">
        <v>28</v>
      </c>
      <c r="M771" t="s">
        <v>22</v>
      </c>
      <c r="N771">
        <v>2</v>
      </c>
    </row>
    <row r="772" spans="1:14" x14ac:dyDescent="0.25">
      <c r="A772">
        <v>771</v>
      </c>
      <c r="B772">
        <v>30</v>
      </c>
      <c r="C772" t="s">
        <v>23</v>
      </c>
      <c r="D772" t="s">
        <v>15</v>
      </c>
      <c r="E772" t="s">
        <v>24</v>
      </c>
      <c r="F772" t="s">
        <v>45</v>
      </c>
      <c r="G772" s="4">
        <v>14</v>
      </c>
      <c r="H772" t="s">
        <v>47</v>
      </c>
      <c r="I772" s="4">
        <v>2486</v>
      </c>
      <c r="J772" t="s">
        <v>44</v>
      </c>
      <c r="K772" t="s">
        <v>20</v>
      </c>
      <c r="L772" t="s">
        <v>21</v>
      </c>
      <c r="M772" t="s">
        <v>31</v>
      </c>
      <c r="N772">
        <v>2</v>
      </c>
    </row>
    <row r="773" spans="1:14" x14ac:dyDescent="0.25">
      <c r="A773">
        <v>772</v>
      </c>
      <c r="B773">
        <v>39</v>
      </c>
      <c r="C773" t="s">
        <v>29</v>
      </c>
      <c r="D773" t="s">
        <v>15</v>
      </c>
      <c r="E773" t="s">
        <v>39</v>
      </c>
      <c r="F773" t="s">
        <v>17</v>
      </c>
      <c r="G773" s="4">
        <v>22</v>
      </c>
      <c r="H773" t="s">
        <v>40</v>
      </c>
      <c r="I773" s="4">
        <v>1912</v>
      </c>
      <c r="J773" t="s">
        <v>27</v>
      </c>
      <c r="K773" t="s">
        <v>38</v>
      </c>
      <c r="L773" t="s">
        <v>21</v>
      </c>
      <c r="M773" t="s">
        <v>22</v>
      </c>
      <c r="N773">
        <v>2</v>
      </c>
    </row>
    <row r="774" spans="1:14" x14ac:dyDescent="0.25">
      <c r="A774">
        <v>773</v>
      </c>
      <c r="B774">
        <v>21</v>
      </c>
      <c r="C774" t="s">
        <v>14</v>
      </c>
      <c r="D774" t="s">
        <v>32</v>
      </c>
      <c r="E774" t="s">
        <v>39</v>
      </c>
      <c r="F774" t="s">
        <v>30</v>
      </c>
      <c r="G774" s="4">
        <v>18</v>
      </c>
      <c r="H774" t="s">
        <v>40</v>
      </c>
      <c r="I774" s="4">
        <v>2931</v>
      </c>
      <c r="J774" t="s">
        <v>35</v>
      </c>
      <c r="K774" t="s">
        <v>20</v>
      </c>
      <c r="L774" t="s">
        <v>21</v>
      </c>
      <c r="M774" t="s">
        <v>22</v>
      </c>
      <c r="N774">
        <v>1</v>
      </c>
    </row>
    <row r="775" spans="1:14" x14ac:dyDescent="0.25">
      <c r="A775">
        <v>774</v>
      </c>
      <c r="B775">
        <v>35</v>
      </c>
      <c r="C775" t="s">
        <v>14</v>
      </c>
      <c r="D775" t="s">
        <v>36</v>
      </c>
      <c r="E775" t="s">
        <v>39</v>
      </c>
      <c r="F775" t="s">
        <v>25</v>
      </c>
      <c r="G775" s="4">
        <v>25</v>
      </c>
      <c r="H775" t="s">
        <v>18</v>
      </c>
      <c r="I775" s="4">
        <v>2971</v>
      </c>
      <c r="J775" t="s">
        <v>50</v>
      </c>
      <c r="K775" t="s">
        <v>20</v>
      </c>
      <c r="L775" t="s">
        <v>28</v>
      </c>
      <c r="M775" t="s">
        <v>31</v>
      </c>
      <c r="N775">
        <v>4</v>
      </c>
    </row>
    <row r="776" spans="1:14" x14ac:dyDescent="0.25">
      <c r="A776">
        <v>775</v>
      </c>
      <c r="B776">
        <v>25</v>
      </c>
      <c r="C776" t="s">
        <v>29</v>
      </c>
      <c r="D776" t="s">
        <v>15</v>
      </c>
      <c r="E776" t="s">
        <v>16</v>
      </c>
      <c r="F776" t="s">
        <v>33</v>
      </c>
      <c r="G776" s="4">
        <v>12</v>
      </c>
      <c r="H776" t="s">
        <v>34</v>
      </c>
      <c r="I776" s="4">
        <v>1061</v>
      </c>
      <c r="J776" t="s">
        <v>27</v>
      </c>
      <c r="K776" t="s">
        <v>48</v>
      </c>
      <c r="L776" t="s">
        <v>28</v>
      </c>
      <c r="M776" t="s">
        <v>22</v>
      </c>
      <c r="N776">
        <v>1</v>
      </c>
    </row>
    <row r="777" spans="1:14" x14ac:dyDescent="0.25">
      <c r="A777">
        <v>776</v>
      </c>
      <c r="B777">
        <v>28</v>
      </c>
      <c r="C777" t="s">
        <v>29</v>
      </c>
      <c r="D777" t="s">
        <v>15</v>
      </c>
      <c r="E777" t="s">
        <v>24</v>
      </c>
      <c r="F777" t="s">
        <v>45</v>
      </c>
      <c r="G777" s="4">
        <v>17</v>
      </c>
      <c r="H777" t="s">
        <v>40</v>
      </c>
      <c r="I777" s="4">
        <v>2363</v>
      </c>
      <c r="J777" t="s">
        <v>45</v>
      </c>
      <c r="K777" t="s">
        <v>20</v>
      </c>
      <c r="L777" t="s">
        <v>28</v>
      </c>
      <c r="M777" t="s">
        <v>31</v>
      </c>
      <c r="N777">
        <v>1</v>
      </c>
    </row>
    <row r="778" spans="1:14" x14ac:dyDescent="0.25">
      <c r="A778">
        <v>777</v>
      </c>
      <c r="B778">
        <v>39</v>
      </c>
      <c r="C778" t="s">
        <v>23</v>
      </c>
      <c r="D778" t="s">
        <v>36</v>
      </c>
      <c r="E778" t="s">
        <v>24</v>
      </c>
      <c r="F778" t="s">
        <v>25</v>
      </c>
      <c r="G778" s="4">
        <v>30</v>
      </c>
      <c r="H778" t="s">
        <v>18</v>
      </c>
      <c r="I778" s="4">
        <v>517</v>
      </c>
      <c r="J778" t="s">
        <v>45</v>
      </c>
      <c r="K778" t="s">
        <v>48</v>
      </c>
      <c r="L778" t="s">
        <v>28</v>
      </c>
      <c r="M778" t="s">
        <v>31</v>
      </c>
      <c r="N778">
        <v>5</v>
      </c>
    </row>
    <row r="779" spans="1:14" x14ac:dyDescent="0.25">
      <c r="A779">
        <v>778</v>
      </c>
      <c r="B779">
        <v>22</v>
      </c>
      <c r="C779" t="s">
        <v>23</v>
      </c>
      <c r="D779" t="s">
        <v>32</v>
      </c>
      <c r="E779" t="s">
        <v>16</v>
      </c>
      <c r="F779" t="s">
        <v>45</v>
      </c>
      <c r="G779" s="4">
        <v>14</v>
      </c>
      <c r="H779" t="s">
        <v>46</v>
      </c>
      <c r="I779" s="4">
        <v>896</v>
      </c>
      <c r="J779" t="s">
        <v>44</v>
      </c>
      <c r="K779" t="s">
        <v>48</v>
      </c>
      <c r="L779" t="s">
        <v>28</v>
      </c>
      <c r="M779" t="s">
        <v>31</v>
      </c>
      <c r="N779">
        <v>4</v>
      </c>
    </row>
    <row r="780" spans="1:14" x14ac:dyDescent="0.25">
      <c r="A780">
        <v>779</v>
      </c>
      <c r="B780">
        <v>34</v>
      </c>
      <c r="C780" t="s">
        <v>23</v>
      </c>
      <c r="D780" t="s">
        <v>36</v>
      </c>
      <c r="E780" t="s">
        <v>39</v>
      </c>
      <c r="F780" t="s">
        <v>17</v>
      </c>
      <c r="G780" s="4">
        <v>27</v>
      </c>
      <c r="H780" t="s">
        <v>40</v>
      </c>
      <c r="I780" s="4">
        <v>505</v>
      </c>
      <c r="J780" t="s">
        <v>49</v>
      </c>
      <c r="K780" t="s">
        <v>34</v>
      </c>
      <c r="L780" t="s">
        <v>28</v>
      </c>
      <c r="M780" t="s">
        <v>22</v>
      </c>
      <c r="N780">
        <v>3</v>
      </c>
    </row>
    <row r="781" spans="1:14" x14ac:dyDescent="0.25">
      <c r="A781">
        <v>780</v>
      </c>
      <c r="B781">
        <v>28</v>
      </c>
      <c r="C781" t="s">
        <v>23</v>
      </c>
      <c r="D781" t="s">
        <v>15</v>
      </c>
      <c r="E781" t="s">
        <v>24</v>
      </c>
      <c r="F781" t="s">
        <v>17</v>
      </c>
      <c r="G781" s="4">
        <v>9</v>
      </c>
      <c r="H781" t="s">
        <v>47</v>
      </c>
      <c r="I781" s="4">
        <v>2935</v>
      </c>
      <c r="J781" t="s">
        <v>44</v>
      </c>
      <c r="K781" t="s">
        <v>20</v>
      </c>
      <c r="L781" t="s">
        <v>28</v>
      </c>
      <c r="M781" t="s">
        <v>31</v>
      </c>
      <c r="N781">
        <v>2</v>
      </c>
    </row>
    <row r="782" spans="1:14" x14ac:dyDescent="0.25">
      <c r="A782">
        <v>781</v>
      </c>
      <c r="B782">
        <v>39</v>
      </c>
      <c r="C782" t="s">
        <v>29</v>
      </c>
      <c r="D782" t="s">
        <v>32</v>
      </c>
      <c r="E782" t="s">
        <v>39</v>
      </c>
      <c r="F782" t="s">
        <v>17</v>
      </c>
      <c r="G782" s="4">
        <v>10</v>
      </c>
      <c r="H782" t="s">
        <v>43</v>
      </c>
      <c r="I782" s="4">
        <v>88</v>
      </c>
      <c r="J782" t="s">
        <v>50</v>
      </c>
      <c r="K782" t="s">
        <v>20</v>
      </c>
      <c r="L782" t="s">
        <v>28</v>
      </c>
      <c r="M782" t="s">
        <v>22</v>
      </c>
      <c r="N782">
        <v>5</v>
      </c>
    </row>
    <row r="783" spans="1:14" x14ac:dyDescent="0.25">
      <c r="A783">
        <v>782</v>
      </c>
      <c r="B783">
        <v>34</v>
      </c>
      <c r="C783" t="s">
        <v>23</v>
      </c>
      <c r="D783" t="s">
        <v>15</v>
      </c>
      <c r="E783" t="s">
        <v>24</v>
      </c>
      <c r="F783" t="s">
        <v>45</v>
      </c>
      <c r="G783" s="4">
        <v>28</v>
      </c>
      <c r="H783" t="s">
        <v>26</v>
      </c>
      <c r="I783" s="4">
        <v>1159</v>
      </c>
      <c r="J783" t="s">
        <v>19</v>
      </c>
      <c r="K783" t="s">
        <v>38</v>
      </c>
      <c r="L783" t="s">
        <v>28</v>
      </c>
      <c r="M783" t="s">
        <v>22</v>
      </c>
      <c r="N783">
        <v>3</v>
      </c>
    </row>
    <row r="784" spans="1:14" x14ac:dyDescent="0.25">
      <c r="A784">
        <v>783</v>
      </c>
      <c r="B784">
        <v>40</v>
      </c>
      <c r="C784" t="s">
        <v>23</v>
      </c>
      <c r="D784" t="s">
        <v>15</v>
      </c>
      <c r="E784" t="s">
        <v>39</v>
      </c>
      <c r="F784" t="s">
        <v>17</v>
      </c>
      <c r="G784" s="4">
        <v>14</v>
      </c>
      <c r="H784" t="s">
        <v>43</v>
      </c>
      <c r="I784" s="4">
        <v>1874</v>
      </c>
      <c r="J784" t="s">
        <v>35</v>
      </c>
      <c r="K784" t="s">
        <v>38</v>
      </c>
      <c r="L784" t="s">
        <v>21</v>
      </c>
      <c r="M784" t="s">
        <v>22</v>
      </c>
      <c r="N784">
        <v>2</v>
      </c>
    </row>
    <row r="785" spans="1:14" x14ac:dyDescent="0.25">
      <c r="A785">
        <v>784</v>
      </c>
      <c r="B785">
        <v>24</v>
      </c>
      <c r="C785" t="s">
        <v>29</v>
      </c>
      <c r="D785" t="s">
        <v>36</v>
      </c>
      <c r="E785" t="s">
        <v>24</v>
      </c>
      <c r="F785" t="s">
        <v>33</v>
      </c>
      <c r="G785" s="4">
        <v>28</v>
      </c>
      <c r="H785" t="s">
        <v>37</v>
      </c>
      <c r="I785" s="4">
        <v>2667</v>
      </c>
      <c r="J785" t="s">
        <v>45</v>
      </c>
      <c r="K785" t="s">
        <v>20</v>
      </c>
      <c r="L785" t="s">
        <v>21</v>
      </c>
      <c r="M785" t="s">
        <v>22</v>
      </c>
      <c r="N785">
        <v>1</v>
      </c>
    </row>
    <row r="786" spans="1:14" x14ac:dyDescent="0.25">
      <c r="A786">
        <v>785</v>
      </c>
      <c r="B786">
        <v>21</v>
      </c>
      <c r="C786" t="s">
        <v>14</v>
      </c>
      <c r="D786" t="s">
        <v>15</v>
      </c>
      <c r="E786" t="s">
        <v>24</v>
      </c>
      <c r="F786" t="s">
        <v>17</v>
      </c>
      <c r="G786" s="4">
        <v>16</v>
      </c>
      <c r="H786" t="s">
        <v>34</v>
      </c>
      <c r="I786" s="4">
        <v>1940</v>
      </c>
      <c r="J786" t="s">
        <v>45</v>
      </c>
      <c r="K786" t="s">
        <v>38</v>
      </c>
      <c r="L786" t="s">
        <v>28</v>
      </c>
      <c r="M786" t="s">
        <v>22</v>
      </c>
      <c r="N786">
        <v>2</v>
      </c>
    </row>
    <row r="787" spans="1:14" x14ac:dyDescent="0.25">
      <c r="A787">
        <v>786</v>
      </c>
      <c r="B787">
        <v>19</v>
      </c>
      <c r="C787" t="s">
        <v>29</v>
      </c>
      <c r="D787" t="s">
        <v>32</v>
      </c>
      <c r="E787" t="s">
        <v>24</v>
      </c>
      <c r="F787" t="s">
        <v>45</v>
      </c>
      <c r="G787" s="4">
        <v>8</v>
      </c>
      <c r="H787" t="s">
        <v>37</v>
      </c>
      <c r="I787" s="4">
        <v>986</v>
      </c>
      <c r="J787" t="s">
        <v>45</v>
      </c>
      <c r="K787" t="s">
        <v>48</v>
      </c>
      <c r="L787" t="s">
        <v>28</v>
      </c>
      <c r="M787" t="s">
        <v>31</v>
      </c>
      <c r="N787">
        <v>4</v>
      </c>
    </row>
    <row r="788" spans="1:14" x14ac:dyDescent="0.25">
      <c r="A788">
        <v>787</v>
      </c>
      <c r="B788">
        <v>26</v>
      </c>
      <c r="C788" t="s">
        <v>29</v>
      </c>
      <c r="D788" t="s">
        <v>15</v>
      </c>
      <c r="E788" t="s">
        <v>16</v>
      </c>
      <c r="F788" t="s">
        <v>33</v>
      </c>
      <c r="G788" s="4">
        <v>25</v>
      </c>
      <c r="H788" t="s">
        <v>18</v>
      </c>
      <c r="I788" s="4">
        <v>2675</v>
      </c>
      <c r="J788" t="s">
        <v>19</v>
      </c>
      <c r="K788" t="s">
        <v>20</v>
      </c>
      <c r="L788" t="s">
        <v>21</v>
      </c>
      <c r="M788" t="s">
        <v>22</v>
      </c>
      <c r="N788">
        <v>4</v>
      </c>
    </row>
    <row r="789" spans="1:14" x14ac:dyDescent="0.25">
      <c r="A789">
        <v>788</v>
      </c>
      <c r="B789">
        <v>36</v>
      </c>
      <c r="C789" t="s">
        <v>29</v>
      </c>
      <c r="D789" t="s">
        <v>36</v>
      </c>
      <c r="E789" t="s">
        <v>24</v>
      </c>
      <c r="F789" t="s">
        <v>33</v>
      </c>
      <c r="G789" s="4">
        <v>23</v>
      </c>
      <c r="H789" t="s">
        <v>37</v>
      </c>
      <c r="I789" s="4">
        <v>2345</v>
      </c>
      <c r="J789" t="s">
        <v>45</v>
      </c>
      <c r="K789" t="s">
        <v>20</v>
      </c>
      <c r="L789" t="s">
        <v>28</v>
      </c>
      <c r="M789" t="s">
        <v>31</v>
      </c>
      <c r="N789">
        <v>4</v>
      </c>
    </row>
    <row r="790" spans="1:14" x14ac:dyDescent="0.25">
      <c r="A790">
        <v>789</v>
      </c>
      <c r="B790">
        <v>36</v>
      </c>
      <c r="C790" t="s">
        <v>14</v>
      </c>
      <c r="D790" t="s">
        <v>36</v>
      </c>
      <c r="E790" t="s">
        <v>24</v>
      </c>
      <c r="F790" t="s">
        <v>25</v>
      </c>
      <c r="G790" s="4">
        <v>9</v>
      </c>
      <c r="H790" t="s">
        <v>26</v>
      </c>
      <c r="I790" s="4">
        <v>407</v>
      </c>
      <c r="J790" t="s">
        <v>41</v>
      </c>
      <c r="K790" t="s">
        <v>20</v>
      </c>
      <c r="L790" t="s">
        <v>28</v>
      </c>
      <c r="M790" t="s">
        <v>22</v>
      </c>
      <c r="N790">
        <v>3</v>
      </c>
    </row>
    <row r="791" spans="1:14" x14ac:dyDescent="0.25">
      <c r="A791">
        <v>790</v>
      </c>
      <c r="B791">
        <v>34</v>
      </c>
      <c r="C791" t="s">
        <v>14</v>
      </c>
      <c r="D791" t="s">
        <v>36</v>
      </c>
      <c r="E791" t="s">
        <v>16</v>
      </c>
      <c r="F791" t="s">
        <v>25</v>
      </c>
      <c r="G791" s="4">
        <v>23</v>
      </c>
      <c r="H791" t="s">
        <v>37</v>
      </c>
      <c r="I791" s="4">
        <v>2207</v>
      </c>
      <c r="J791" t="s">
        <v>41</v>
      </c>
      <c r="K791" t="s">
        <v>20</v>
      </c>
      <c r="L791" t="s">
        <v>28</v>
      </c>
      <c r="M791" t="s">
        <v>22</v>
      </c>
      <c r="N791">
        <v>1</v>
      </c>
    </row>
    <row r="792" spans="1:14" x14ac:dyDescent="0.25">
      <c r="A792">
        <v>791</v>
      </c>
      <c r="B792">
        <v>19</v>
      </c>
      <c r="C792" t="s">
        <v>23</v>
      </c>
      <c r="D792" t="s">
        <v>15</v>
      </c>
      <c r="E792" t="s">
        <v>16</v>
      </c>
      <c r="F792" t="s">
        <v>45</v>
      </c>
      <c r="G792" s="4">
        <v>9</v>
      </c>
      <c r="H792" t="s">
        <v>46</v>
      </c>
      <c r="I792" s="4">
        <v>2355</v>
      </c>
      <c r="J792" t="s">
        <v>41</v>
      </c>
      <c r="K792" t="s">
        <v>48</v>
      </c>
      <c r="L792" t="s">
        <v>21</v>
      </c>
      <c r="M792" t="s">
        <v>31</v>
      </c>
      <c r="N792">
        <v>2</v>
      </c>
    </row>
    <row r="793" spans="1:14" x14ac:dyDescent="0.25">
      <c r="A793">
        <v>792</v>
      </c>
      <c r="B793">
        <v>29</v>
      </c>
      <c r="C793" t="s">
        <v>23</v>
      </c>
      <c r="D793" t="s">
        <v>15</v>
      </c>
      <c r="E793" t="s">
        <v>16</v>
      </c>
      <c r="F793" t="s">
        <v>30</v>
      </c>
      <c r="G793" s="4">
        <v>22</v>
      </c>
      <c r="H793" t="s">
        <v>47</v>
      </c>
      <c r="I793" s="4">
        <v>702</v>
      </c>
      <c r="J793" t="s">
        <v>35</v>
      </c>
      <c r="K793" t="s">
        <v>20</v>
      </c>
      <c r="L793" t="s">
        <v>21</v>
      </c>
      <c r="M793" t="s">
        <v>31</v>
      </c>
      <c r="N793">
        <v>4</v>
      </c>
    </row>
    <row r="794" spans="1:14" x14ac:dyDescent="0.25">
      <c r="A794">
        <v>793</v>
      </c>
      <c r="B794">
        <v>40</v>
      </c>
      <c r="C794" t="s">
        <v>23</v>
      </c>
      <c r="D794" t="s">
        <v>36</v>
      </c>
      <c r="E794" t="s">
        <v>24</v>
      </c>
      <c r="F794" t="s">
        <v>25</v>
      </c>
      <c r="G794" s="4">
        <v>15</v>
      </c>
      <c r="H794" t="s">
        <v>18</v>
      </c>
      <c r="I794" s="4">
        <v>2140</v>
      </c>
      <c r="J794" t="s">
        <v>41</v>
      </c>
      <c r="K794" t="s">
        <v>38</v>
      </c>
      <c r="L794" t="s">
        <v>21</v>
      </c>
      <c r="M794" t="s">
        <v>22</v>
      </c>
      <c r="N794">
        <v>3</v>
      </c>
    </row>
    <row r="795" spans="1:14" x14ac:dyDescent="0.25">
      <c r="A795">
        <v>794</v>
      </c>
      <c r="B795">
        <v>22</v>
      </c>
      <c r="C795" t="s">
        <v>23</v>
      </c>
      <c r="D795" t="s">
        <v>36</v>
      </c>
      <c r="E795" t="s">
        <v>16</v>
      </c>
      <c r="F795" t="s">
        <v>45</v>
      </c>
      <c r="G795" s="4">
        <v>14</v>
      </c>
      <c r="H795" t="s">
        <v>34</v>
      </c>
      <c r="I795" s="4">
        <v>881</v>
      </c>
      <c r="J795" t="s">
        <v>35</v>
      </c>
      <c r="K795" t="s">
        <v>38</v>
      </c>
      <c r="L795" t="s">
        <v>28</v>
      </c>
      <c r="M795" t="s">
        <v>22</v>
      </c>
      <c r="N795">
        <v>2</v>
      </c>
    </row>
    <row r="796" spans="1:14" x14ac:dyDescent="0.25">
      <c r="A796">
        <v>795</v>
      </c>
      <c r="B796">
        <v>35</v>
      </c>
      <c r="C796" t="s">
        <v>23</v>
      </c>
      <c r="D796" t="s">
        <v>15</v>
      </c>
      <c r="E796" t="s">
        <v>39</v>
      </c>
      <c r="F796" t="s">
        <v>42</v>
      </c>
      <c r="G796" s="4">
        <v>13</v>
      </c>
      <c r="H796" t="s">
        <v>18</v>
      </c>
      <c r="I796" s="4">
        <v>1067</v>
      </c>
      <c r="J796" t="s">
        <v>35</v>
      </c>
      <c r="K796" t="s">
        <v>20</v>
      </c>
      <c r="L796" t="s">
        <v>21</v>
      </c>
      <c r="M796" t="s">
        <v>22</v>
      </c>
      <c r="N796">
        <v>4</v>
      </c>
    </row>
    <row r="797" spans="1:14" x14ac:dyDescent="0.25">
      <c r="A797">
        <v>796</v>
      </c>
      <c r="B797">
        <v>20</v>
      </c>
      <c r="C797" t="s">
        <v>23</v>
      </c>
      <c r="D797" t="s">
        <v>32</v>
      </c>
      <c r="E797" t="s">
        <v>24</v>
      </c>
      <c r="F797" t="s">
        <v>17</v>
      </c>
      <c r="G797" s="4">
        <v>25</v>
      </c>
      <c r="H797" t="s">
        <v>37</v>
      </c>
      <c r="I797" s="4">
        <v>1103</v>
      </c>
      <c r="J797" t="s">
        <v>45</v>
      </c>
      <c r="K797" t="s">
        <v>38</v>
      </c>
      <c r="L797" t="s">
        <v>28</v>
      </c>
      <c r="M797" t="s">
        <v>31</v>
      </c>
      <c r="N797">
        <v>2</v>
      </c>
    </row>
    <row r="798" spans="1:14" x14ac:dyDescent="0.25">
      <c r="A798">
        <v>797</v>
      </c>
      <c r="B798">
        <v>30</v>
      </c>
      <c r="C798" t="s">
        <v>14</v>
      </c>
      <c r="D798" t="s">
        <v>32</v>
      </c>
      <c r="E798" t="s">
        <v>16</v>
      </c>
      <c r="F798" t="s">
        <v>45</v>
      </c>
      <c r="G798" s="4">
        <v>5</v>
      </c>
      <c r="H798" t="s">
        <v>18</v>
      </c>
      <c r="I798" s="4">
        <v>2472</v>
      </c>
      <c r="J798" t="s">
        <v>45</v>
      </c>
      <c r="K798" t="s">
        <v>48</v>
      </c>
      <c r="L798" t="s">
        <v>28</v>
      </c>
      <c r="M798" t="s">
        <v>22</v>
      </c>
      <c r="N798">
        <v>2</v>
      </c>
    </row>
    <row r="799" spans="1:14" x14ac:dyDescent="0.25">
      <c r="A799">
        <v>798</v>
      </c>
      <c r="B799">
        <v>29</v>
      </c>
      <c r="C799" t="s">
        <v>14</v>
      </c>
      <c r="D799" t="s">
        <v>32</v>
      </c>
      <c r="E799" t="s">
        <v>16</v>
      </c>
      <c r="F799" t="s">
        <v>33</v>
      </c>
      <c r="G799" s="4">
        <v>15</v>
      </c>
      <c r="H799" t="s">
        <v>26</v>
      </c>
      <c r="I799" s="4">
        <v>1119</v>
      </c>
      <c r="J799" t="s">
        <v>27</v>
      </c>
      <c r="K799" t="s">
        <v>20</v>
      </c>
      <c r="L799" t="s">
        <v>21</v>
      </c>
      <c r="M799" t="s">
        <v>22</v>
      </c>
      <c r="N799">
        <v>2</v>
      </c>
    </row>
    <row r="800" spans="1:14" x14ac:dyDescent="0.25">
      <c r="A800">
        <v>799</v>
      </c>
      <c r="B800">
        <v>23</v>
      </c>
      <c r="C800" t="s">
        <v>23</v>
      </c>
      <c r="D800" t="s">
        <v>32</v>
      </c>
      <c r="E800" t="s">
        <v>16</v>
      </c>
      <c r="F800" t="s">
        <v>45</v>
      </c>
      <c r="G800" s="4">
        <v>21</v>
      </c>
      <c r="H800" t="s">
        <v>34</v>
      </c>
      <c r="I800" s="4">
        <v>2983</v>
      </c>
      <c r="J800" t="s">
        <v>35</v>
      </c>
      <c r="K800" t="s">
        <v>34</v>
      </c>
      <c r="L800" t="s">
        <v>21</v>
      </c>
      <c r="M800" t="s">
        <v>22</v>
      </c>
      <c r="N800">
        <v>3</v>
      </c>
    </row>
    <row r="801" spans="1:14" x14ac:dyDescent="0.25">
      <c r="A801">
        <v>800</v>
      </c>
      <c r="B801">
        <v>23</v>
      </c>
      <c r="C801" t="s">
        <v>29</v>
      </c>
      <c r="D801" t="s">
        <v>36</v>
      </c>
      <c r="E801" t="s">
        <v>24</v>
      </c>
      <c r="F801" t="s">
        <v>45</v>
      </c>
      <c r="G801" s="4">
        <v>15</v>
      </c>
      <c r="H801" t="s">
        <v>26</v>
      </c>
      <c r="I801" s="4">
        <v>1595</v>
      </c>
      <c r="J801" t="s">
        <v>49</v>
      </c>
      <c r="K801" t="s">
        <v>38</v>
      </c>
      <c r="L801" t="s">
        <v>28</v>
      </c>
      <c r="M801" t="s">
        <v>22</v>
      </c>
      <c r="N801">
        <v>2</v>
      </c>
    </row>
    <row r="802" spans="1:14" x14ac:dyDescent="0.25">
      <c r="A802">
        <v>801</v>
      </c>
      <c r="B802">
        <v>39</v>
      </c>
      <c r="C802" t="s">
        <v>23</v>
      </c>
      <c r="D802" t="s">
        <v>15</v>
      </c>
      <c r="E802" t="s">
        <v>16</v>
      </c>
      <c r="F802" t="s">
        <v>42</v>
      </c>
      <c r="G802" s="4">
        <v>21</v>
      </c>
      <c r="H802" t="s">
        <v>46</v>
      </c>
      <c r="I802" s="4">
        <v>2921</v>
      </c>
      <c r="J802" t="s">
        <v>41</v>
      </c>
      <c r="K802" t="s">
        <v>34</v>
      </c>
      <c r="L802" t="s">
        <v>21</v>
      </c>
      <c r="M802" t="s">
        <v>31</v>
      </c>
      <c r="N802">
        <v>2</v>
      </c>
    </row>
    <row r="803" spans="1:14" x14ac:dyDescent="0.25">
      <c r="A803">
        <v>802</v>
      </c>
      <c r="B803">
        <v>40</v>
      </c>
      <c r="C803" t="s">
        <v>29</v>
      </c>
      <c r="D803" t="s">
        <v>32</v>
      </c>
      <c r="E803" t="s">
        <v>24</v>
      </c>
      <c r="F803" t="s">
        <v>30</v>
      </c>
      <c r="G803" s="4">
        <v>19</v>
      </c>
      <c r="H803" t="s">
        <v>46</v>
      </c>
      <c r="I803" s="4">
        <v>749</v>
      </c>
      <c r="J803" t="s">
        <v>45</v>
      </c>
      <c r="K803" t="s">
        <v>38</v>
      </c>
      <c r="L803" t="s">
        <v>28</v>
      </c>
      <c r="M803" t="s">
        <v>22</v>
      </c>
      <c r="N803">
        <v>4</v>
      </c>
    </row>
    <row r="804" spans="1:14" x14ac:dyDescent="0.25">
      <c r="A804">
        <v>803</v>
      </c>
      <c r="B804">
        <v>27</v>
      </c>
      <c r="C804" t="s">
        <v>23</v>
      </c>
      <c r="D804" t="s">
        <v>15</v>
      </c>
      <c r="E804" t="s">
        <v>16</v>
      </c>
      <c r="F804" t="s">
        <v>17</v>
      </c>
      <c r="G804" s="4">
        <v>18</v>
      </c>
      <c r="H804" t="s">
        <v>40</v>
      </c>
      <c r="I804" s="4">
        <v>1280</v>
      </c>
      <c r="J804" t="s">
        <v>19</v>
      </c>
      <c r="K804" t="s">
        <v>38</v>
      </c>
      <c r="L804" t="s">
        <v>21</v>
      </c>
      <c r="M804" t="s">
        <v>22</v>
      </c>
      <c r="N804">
        <v>1</v>
      </c>
    </row>
    <row r="805" spans="1:14" x14ac:dyDescent="0.25">
      <c r="A805">
        <v>804</v>
      </c>
      <c r="B805">
        <v>27</v>
      </c>
      <c r="C805" t="s">
        <v>29</v>
      </c>
      <c r="D805" t="s">
        <v>36</v>
      </c>
      <c r="E805" t="s">
        <v>24</v>
      </c>
      <c r="F805" t="s">
        <v>17</v>
      </c>
      <c r="G805" s="4">
        <v>22</v>
      </c>
      <c r="H805" t="s">
        <v>37</v>
      </c>
      <c r="I805" s="4">
        <v>2018</v>
      </c>
      <c r="J805" t="s">
        <v>49</v>
      </c>
      <c r="K805" t="s">
        <v>20</v>
      </c>
      <c r="L805" t="s">
        <v>21</v>
      </c>
      <c r="M805" t="s">
        <v>31</v>
      </c>
      <c r="N805">
        <v>1</v>
      </c>
    </row>
    <row r="806" spans="1:14" x14ac:dyDescent="0.25">
      <c r="A806">
        <v>805</v>
      </c>
      <c r="B806">
        <v>18</v>
      </c>
      <c r="C806" t="s">
        <v>23</v>
      </c>
      <c r="D806" t="s">
        <v>32</v>
      </c>
      <c r="E806" t="s">
        <v>24</v>
      </c>
      <c r="F806" t="s">
        <v>45</v>
      </c>
      <c r="G806" s="4">
        <v>24</v>
      </c>
      <c r="H806" t="s">
        <v>34</v>
      </c>
      <c r="I806" s="4">
        <v>778</v>
      </c>
      <c r="J806" t="s">
        <v>27</v>
      </c>
      <c r="K806" t="s">
        <v>48</v>
      </c>
      <c r="L806" t="s">
        <v>28</v>
      </c>
      <c r="M806" t="s">
        <v>22</v>
      </c>
      <c r="N806">
        <v>1</v>
      </c>
    </row>
    <row r="807" spans="1:14" x14ac:dyDescent="0.25">
      <c r="A807">
        <v>806</v>
      </c>
      <c r="B807">
        <v>39</v>
      </c>
      <c r="C807" t="s">
        <v>14</v>
      </c>
      <c r="D807" t="s">
        <v>15</v>
      </c>
      <c r="E807" t="s">
        <v>39</v>
      </c>
      <c r="F807" t="s">
        <v>25</v>
      </c>
      <c r="G807" s="4">
        <v>29</v>
      </c>
      <c r="H807" t="s">
        <v>34</v>
      </c>
      <c r="I807" s="4">
        <v>2144</v>
      </c>
      <c r="J807" t="s">
        <v>41</v>
      </c>
      <c r="K807" t="s">
        <v>20</v>
      </c>
      <c r="L807" t="s">
        <v>28</v>
      </c>
      <c r="M807" t="s">
        <v>31</v>
      </c>
      <c r="N807">
        <v>2</v>
      </c>
    </row>
    <row r="808" spans="1:14" x14ac:dyDescent="0.25">
      <c r="A808">
        <v>807</v>
      </c>
      <c r="B808">
        <v>23</v>
      </c>
      <c r="C808" t="s">
        <v>23</v>
      </c>
      <c r="D808" t="s">
        <v>15</v>
      </c>
      <c r="E808" t="s">
        <v>24</v>
      </c>
      <c r="F808" t="s">
        <v>33</v>
      </c>
      <c r="G808" s="4">
        <v>16</v>
      </c>
      <c r="H808" t="s">
        <v>46</v>
      </c>
      <c r="I808" s="4">
        <v>463</v>
      </c>
      <c r="J808" t="s">
        <v>35</v>
      </c>
      <c r="K808" t="s">
        <v>20</v>
      </c>
      <c r="L808" t="s">
        <v>28</v>
      </c>
      <c r="M808" t="s">
        <v>31</v>
      </c>
      <c r="N808">
        <v>3</v>
      </c>
    </row>
    <row r="809" spans="1:14" x14ac:dyDescent="0.25">
      <c r="A809">
        <v>808</v>
      </c>
      <c r="B809">
        <v>24</v>
      </c>
      <c r="C809" t="s">
        <v>29</v>
      </c>
      <c r="D809" t="s">
        <v>15</v>
      </c>
      <c r="E809" t="s">
        <v>39</v>
      </c>
      <c r="F809" t="s">
        <v>17</v>
      </c>
      <c r="G809" s="4">
        <v>5</v>
      </c>
      <c r="H809" t="s">
        <v>47</v>
      </c>
      <c r="I809" s="4">
        <v>2585</v>
      </c>
      <c r="J809" t="s">
        <v>49</v>
      </c>
      <c r="K809" t="s">
        <v>20</v>
      </c>
      <c r="L809" t="s">
        <v>21</v>
      </c>
      <c r="M809" t="s">
        <v>31</v>
      </c>
      <c r="N809">
        <v>5</v>
      </c>
    </row>
    <row r="810" spans="1:14" x14ac:dyDescent="0.25">
      <c r="A810">
        <v>809</v>
      </c>
      <c r="B810">
        <v>18</v>
      </c>
      <c r="C810" t="s">
        <v>29</v>
      </c>
      <c r="D810" t="s">
        <v>32</v>
      </c>
      <c r="E810" t="s">
        <v>16</v>
      </c>
      <c r="F810" t="s">
        <v>33</v>
      </c>
      <c r="G810" s="4">
        <v>24</v>
      </c>
      <c r="H810" t="s">
        <v>34</v>
      </c>
      <c r="I810" s="4">
        <v>1885</v>
      </c>
      <c r="J810" t="s">
        <v>44</v>
      </c>
      <c r="K810" t="s">
        <v>20</v>
      </c>
      <c r="L810" t="s">
        <v>28</v>
      </c>
      <c r="M810" t="s">
        <v>22</v>
      </c>
      <c r="N810">
        <v>3</v>
      </c>
    </row>
    <row r="811" spans="1:14" x14ac:dyDescent="0.25">
      <c r="A811">
        <v>810</v>
      </c>
      <c r="B811">
        <v>21</v>
      </c>
      <c r="C811" t="s">
        <v>14</v>
      </c>
      <c r="D811" t="s">
        <v>36</v>
      </c>
      <c r="E811" t="s">
        <v>24</v>
      </c>
      <c r="F811" t="s">
        <v>25</v>
      </c>
      <c r="G811" s="4">
        <v>18</v>
      </c>
      <c r="H811" t="s">
        <v>26</v>
      </c>
      <c r="I811" s="4">
        <v>2015</v>
      </c>
      <c r="J811" t="s">
        <v>19</v>
      </c>
      <c r="K811" t="s">
        <v>20</v>
      </c>
      <c r="L811" t="s">
        <v>21</v>
      </c>
      <c r="M811" t="s">
        <v>22</v>
      </c>
      <c r="N811">
        <v>2</v>
      </c>
    </row>
    <row r="812" spans="1:14" x14ac:dyDescent="0.25">
      <c r="A812">
        <v>811</v>
      </c>
      <c r="B812">
        <v>39</v>
      </c>
      <c r="C812" t="s">
        <v>29</v>
      </c>
      <c r="D812" t="s">
        <v>32</v>
      </c>
      <c r="E812" t="s">
        <v>39</v>
      </c>
      <c r="F812" t="s">
        <v>30</v>
      </c>
      <c r="G812" s="4">
        <v>13</v>
      </c>
      <c r="H812" t="s">
        <v>26</v>
      </c>
      <c r="I812" s="4">
        <v>926</v>
      </c>
      <c r="J812" t="s">
        <v>44</v>
      </c>
      <c r="K812" t="s">
        <v>34</v>
      </c>
      <c r="L812" t="s">
        <v>21</v>
      </c>
      <c r="M812" t="s">
        <v>31</v>
      </c>
      <c r="N812">
        <v>4</v>
      </c>
    </row>
    <row r="813" spans="1:14" x14ac:dyDescent="0.25">
      <c r="A813">
        <v>812</v>
      </c>
      <c r="B813">
        <v>39</v>
      </c>
      <c r="C813" t="s">
        <v>29</v>
      </c>
      <c r="D813" t="s">
        <v>36</v>
      </c>
      <c r="E813" t="s">
        <v>39</v>
      </c>
      <c r="F813" t="s">
        <v>33</v>
      </c>
      <c r="G813" s="4">
        <v>19</v>
      </c>
      <c r="H813" t="s">
        <v>34</v>
      </c>
      <c r="I813" s="4">
        <v>662</v>
      </c>
      <c r="J813" t="s">
        <v>27</v>
      </c>
      <c r="K813" t="s">
        <v>48</v>
      </c>
      <c r="L813" t="s">
        <v>21</v>
      </c>
      <c r="M813" t="s">
        <v>31</v>
      </c>
      <c r="N813">
        <v>2</v>
      </c>
    </row>
    <row r="814" spans="1:14" x14ac:dyDescent="0.25">
      <c r="A814">
        <v>813</v>
      </c>
      <c r="B814">
        <v>19</v>
      </c>
      <c r="C814" t="s">
        <v>23</v>
      </c>
      <c r="D814" t="s">
        <v>32</v>
      </c>
      <c r="E814" t="s">
        <v>16</v>
      </c>
      <c r="F814" t="s">
        <v>25</v>
      </c>
      <c r="G814" s="4">
        <v>9</v>
      </c>
      <c r="H814" t="s">
        <v>40</v>
      </c>
      <c r="I814" s="4">
        <v>1616</v>
      </c>
      <c r="J814" t="s">
        <v>49</v>
      </c>
      <c r="K814" t="s">
        <v>34</v>
      </c>
      <c r="L814" t="s">
        <v>21</v>
      </c>
      <c r="M814" t="s">
        <v>31</v>
      </c>
      <c r="N814">
        <v>4</v>
      </c>
    </row>
    <row r="815" spans="1:14" x14ac:dyDescent="0.25">
      <c r="A815">
        <v>814</v>
      </c>
      <c r="B815">
        <v>33</v>
      </c>
      <c r="C815" t="s">
        <v>29</v>
      </c>
      <c r="D815" t="s">
        <v>32</v>
      </c>
      <c r="E815" t="s">
        <v>24</v>
      </c>
      <c r="F815" t="s">
        <v>17</v>
      </c>
      <c r="G815" s="4">
        <v>22</v>
      </c>
      <c r="H815" t="s">
        <v>26</v>
      </c>
      <c r="I815" s="4">
        <v>2029</v>
      </c>
      <c r="J815" t="s">
        <v>44</v>
      </c>
      <c r="K815" t="s">
        <v>48</v>
      </c>
      <c r="L815" t="s">
        <v>21</v>
      </c>
      <c r="M815" t="s">
        <v>22</v>
      </c>
      <c r="N815">
        <v>2</v>
      </c>
    </row>
    <row r="816" spans="1:14" x14ac:dyDescent="0.25">
      <c r="A816">
        <v>815</v>
      </c>
      <c r="B816">
        <v>22</v>
      </c>
      <c r="C816" t="s">
        <v>14</v>
      </c>
      <c r="D816" t="s">
        <v>36</v>
      </c>
      <c r="E816" t="s">
        <v>16</v>
      </c>
      <c r="F816" t="s">
        <v>33</v>
      </c>
      <c r="G816" s="4">
        <v>9</v>
      </c>
      <c r="H816" t="s">
        <v>34</v>
      </c>
      <c r="I816" s="4">
        <v>1409</v>
      </c>
      <c r="J816" t="s">
        <v>45</v>
      </c>
      <c r="K816" t="s">
        <v>48</v>
      </c>
      <c r="L816" t="s">
        <v>28</v>
      </c>
      <c r="M816" t="s">
        <v>31</v>
      </c>
      <c r="N816">
        <v>5</v>
      </c>
    </row>
    <row r="817" spans="1:14" x14ac:dyDescent="0.25">
      <c r="A817">
        <v>816</v>
      </c>
      <c r="B817">
        <v>27</v>
      </c>
      <c r="C817" t="s">
        <v>29</v>
      </c>
      <c r="D817" t="s">
        <v>15</v>
      </c>
      <c r="E817" t="s">
        <v>24</v>
      </c>
      <c r="F817" t="s">
        <v>25</v>
      </c>
      <c r="G817" s="4">
        <v>14</v>
      </c>
      <c r="H817" t="s">
        <v>37</v>
      </c>
      <c r="I817" s="4">
        <v>1990</v>
      </c>
      <c r="J817" t="s">
        <v>27</v>
      </c>
      <c r="K817" t="s">
        <v>34</v>
      </c>
      <c r="L817" t="s">
        <v>21</v>
      </c>
      <c r="M817" t="s">
        <v>31</v>
      </c>
      <c r="N817">
        <v>1</v>
      </c>
    </row>
    <row r="818" spans="1:14" x14ac:dyDescent="0.25">
      <c r="A818">
        <v>817</v>
      </c>
      <c r="B818">
        <v>40</v>
      </c>
      <c r="C818" t="s">
        <v>14</v>
      </c>
      <c r="D818" t="s">
        <v>32</v>
      </c>
      <c r="E818" t="s">
        <v>24</v>
      </c>
      <c r="F818" t="s">
        <v>33</v>
      </c>
      <c r="G818" s="4">
        <v>12</v>
      </c>
      <c r="H818" t="s">
        <v>37</v>
      </c>
      <c r="I818" s="4">
        <v>2729</v>
      </c>
      <c r="J818" t="s">
        <v>27</v>
      </c>
      <c r="K818" t="s">
        <v>38</v>
      </c>
      <c r="L818" t="s">
        <v>21</v>
      </c>
      <c r="M818" t="s">
        <v>22</v>
      </c>
      <c r="N818">
        <v>4</v>
      </c>
    </row>
    <row r="819" spans="1:14" x14ac:dyDescent="0.25">
      <c r="A819">
        <v>818</v>
      </c>
      <c r="B819">
        <v>22</v>
      </c>
      <c r="C819" t="s">
        <v>14</v>
      </c>
      <c r="D819" t="s">
        <v>15</v>
      </c>
      <c r="E819" t="s">
        <v>39</v>
      </c>
      <c r="F819" t="s">
        <v>33</v>
      </c>
      <c r="G819" s="4">
        <v>17</v>
      </c>
      <c r="H819" t="s">
        <v>40</v>
      </c>
      <c r="I819" s="4">
        <v>157</v>
      </c>
      <c r="J819" t="s">
        <v>19</v>
      </c>
      <c r="K819" t="s">
        <v>48</v>
      </c>
      <c r="L819" t="s">
        <v>28</v>
      </c>
      <c r="M819" t="s">
        <v>31</v>
      </c>
      <c r="N819">
        <v>3</v>
      </c>
    </row>
    <row r="820" spans="1:14" x14ac:dyDescent="0.25">
      <c r="A820">
        <v>819</v>
      </c>
      <c r="B820">
        <v>34</v>
      </c>
      <c r="C820" t="s">
        <v>14</v>
      </c>
      <c r="D820" t="s">
        <v>32</v>
      </c>
      <c r="E820" t="s">
        <v>39</v>
      </c>
      <c r="F820" t="s">
        <v>42</v>
      </c>
      <c r="G820" s="4">
        <v>14</v>
      </c>
      <c r="H820" t="s">
        <v>47</v>
      </c>
      <c r="I820" s="4">
        <v>2867</v>
      </c>
      <c r="J820" t="s">
        <v>45</v>
      </c>
      <c r="K820" t="s">
        <v>48</v>
      </c>
      <c r="L820" t="s">
        <v>28</v>
      </c>
      <c r="M820" t="s">
        <v>22</v>
      </c>
      <c r="N820">
        <v>2</v>
      </c>
    </row>
    <row r="821" spans="1:14" x14ac:dyDescent="0.25">
      <c r="A821">
        <v>820</v>
      </c>
      <c r="B821">
        <v>26</v>
      </c>
      <c r="C821" t="s">
        <v>23</v>
      </c>
      <c r="D821" t="s">
        <v>32</v>
      </c>
      <c r="E821" t="s">
        <v>16</v>
      </c>
      <c r="F821" t="s">
        <v>30</v>
      </c>
      <c r="G821" s="4">
        <v>16</v>
      </c>
      <c r="H821" t="s">
        <v>47</v>
      </c>
      <c r="I821" s="4">
        <v>1149</v>
      </c>
      <c r="J821" t="s">
        <v>44</v>
      </c>
      <c r="K821" t="s">
        <v>48</v>
      </c>
      <c r="L821" t="s">
        <v>21</v>
      </c>
      <c r="M821" t="s">
        <v>22</v>
      </c>
      <c r="N821">
        <v>3</v>
      </c>
    </row>
    <row r="822" spans="1:14" x14ac:dyDescent="0.25">
      <c r="A822">
        <v>821</v>
      </c>
      <c r="B822">
        <v>39</v>
      </c>
      <c r="C822" t="s">
        <v>29</v>
      </c>
      <c r="D822" t="s">
        <v>32</v>
      </c>
      <c r="E822" t="s">
        <v>39</v>
      </c>
      <c r="F822" t="s">
        <v>45</v>
      </c>
      <c r="G822" s="4">
        <v>28</v>
      </c>
      <c r="H822" t="s">
        <v>18</v>
      </c>
      <c r="I822" s="4">
        <v>1317</v>
      </c>
      <c r="J822" t="s">
        <v>45</v>
      </c>
      <c r="K822" t="s">
        <v>38</v>
      </c>
      <c r="L822" t="s">
        <v>28</v>
      </c>
      <c r="M822" t="s">
        <v>31</v>
      </c>
      <c r="N822">
        <v>2</v>
      </c>
    </row>
    <row r="823" spans="1:14" x14ac:dyDescent="0.25">
      <c r="A823">
        <v>822</v>
      </c>
      <c r="B823">
        <v>29</v>
      </c>
      <c r="C823" t="s">
        <v>14</v>
      </c>
      <c r="D823" t="s">
        <v>36</v>
      </c>
      <c r="E823" t="s">
        <v>16</v>
      </c>
      <c r="F823" t="s">
        <v>17</v>
      </c>
      <c r="G823" s="4">
        <v>15</v>
      </c>
      <c r="H823" t="s">
        <v>37</v>
      </c>
      <c r="I823" s="4">
        <v>1246</v>
      </c>
      <c r="J823" t="s">
        <v>50</v>
      </c>
      <c r="K823" t="s">
        <v>34</v>
      </c>
      <c r="L823" t="s">
        <v>28</v>
      </c>
      <c r="M823" t="s">
        <v>31</v>
      </c>
      <c r="N823">
        <v>1</v>
      </c>
    </row>
    <row r="824" spans="1:14" x14ac:dyDescent="0.25">
      <c r="A824">
        <v>823</v>
      </c>
      <c r="B824">
        <v>25</v>
      </c>
      <c r="C824" t="s">
        <v>23</v>
      </c>
      <c r="D824" t="s">
        <v>32</v>
      </c>
      <c r="E824" t="s">
        <v>16</v>
      </c>
      <c r="F824" t="s">
        <v>33</v>
      </c>
      <c r="G824" s="4">
        <v>25</v>
      </c>
      <c r="H824" t="s">
        <v>37</v>
      </c>
      <c r="I824" s="4">
        <v>1130</v>
      </c>
      <c r="J824" t="s">
        <v>19</v>
      </c>
      <c r="K824" t="s">
        <v>48</v>
      </c>
      <c r="L824" t="s">
        <v>21</v>
      </c>
      <c r="M824" t="s">
        <v>22</v>
      </c>
      <c r="N824">
        <v>2</v>
      </c>
    </row>
    <row r="825" spans="1:14" x14ac:dyDescent="0.25">
      <c r="A825">
        <v>824</v>
      </c>
      <c r="B825">
        <v>40</v>
      </c>
      <c r="C825" t="s">
        <v>23</v>
      </c>
      <c r="D825" t="s">
        <v>36</v>
      </c>
      <c r="E825" t="s">
        <v>39</v>
      </c>
      <c r="F825" t="s">
        <v>30</v>
      </c>
      <c r="G825" s="4">
        <v>19</v>
      </c>
      <c r="H825" t="s">
        <v>43</v>
      </c>
      <c r="I825" s="4">
        <v>404</v>
      </c>
      <c r="J825" t="s">
        <v>27</v>
      </c>
      <c r="K825" t="s">
        <v>38</v>
      </c>
      <c r="L825" t="s">
        <v>21</v>
      </c>
      <c r="M825" t="s">
        <v>22</v>
      </c>
      <c r="N825">
        <v>1</v>
      </c>
    </row>
    <row r="826" spans="1:14" x14ac:dyDescent="0.25">
      <c r="A826">
        <v>825</v>
      </c>
      <c r="B826">
        <v>24</v>
      </c>
      <c r="C826" t="s">
        <v>23</v>
      </c>
      <c r="D826" t="s">
        <v>32</v>
      </c>
      <c r="E826" t="s">
        <v>39</v>
      </c>
      <c r="F826" t="s">
        <v>42</v>
      </c>
      <c r="G826" s="4">
        <v>18</v>
      </c>
      <c r="H826" t="s">
        <v>18</v>
      </c>
      <c r="I826" s="4">
        <v>2254</v>
      </c>
      <c r="J826" t="s">
        <v>45</v>
      </c>
      <c r="K826" t="s">
        <v>48</v>
      </c>
      <c r="L826" t="s">
        <v>28</v>
      </c>
      <c r="M826" t="s">
        <v>31</v>
      </c>
      <c r="N826">
        <v>3</v>
      </c>
    </row>
    <row r="827" spans="1:14" x14ac:dyDescent="0.25">
      <c r="A827">
        <v>826</v>
      </c>
      <c r="B827">
        <v>34</v>
      </c>
      <c r="C827" t="s">
        <v>23</v>
      </c>
      <c r="D827" t="s">
        <v>32</v>
      </c>
      <c r="E827" t="s">
        <v>24</v>
      </c>
      <c r="F827" t="s">
        <v>25</v>
      </c>
      <c r="G827" s="4">
        <v>21</v>
      </c>
      <c r="H827" t="s">
        <v>46</v>
      </c>
      <c r="I827" s="4">
        <v>89</v>
      </c>
      <c r="J827" t="s">
        <v>41</v>
      </c>
      <c r="K827" t="s">
        <v>48</v>
      </c>
      <c r="L827" t="s">
        <v>21</v>
      </c>
      <c r="M827" t="s">
        <v>31</v>
      </c>
      <c r="N827">
        <v>2</v>
      </c>
    </row>
    <row r="828" spans="1:14" x14ac:dyDescent="0.25">
      <c r="A828">
        <v>827</v>
      </c>
      <c r="B828">
        <v>33</v>
      </c>
      <c r="C828" t="s">
        <v>14</v>
      </c>
      <c r="D828" t="s">
        <v>15</v>
      </c>
      <c r="E828" t="s">
        <v>39</v>
      </c>
      <c r="F828" t="s">
        <v>45</v>
      </c>
      <c r="G828" s="4">
        <v>26</v>
      </c>
      <c r="H828" t="s">
        <v>26</v>
      </c>
      <c r="I828" s="4">
        <v>2180</v>
      </c>
      <c r="J828" t="s">
        <v>45</v>
      </c>
      <c r="K828" t="s">
        <v>20</v>
      </c>
      <c r="L828" t="s">
        <v>28</v>
      </c>
      <c r="M828" t="s">
        <v>22</v>
      </c>
      <c r="N828">
        <v>5</v>
      </c>
    </row>
    <row r="829" spans="1:14" x14ac:dyDescent="0.25">
      <c r="A829">
        <v>828</v>
      </c>
      <c r="B829">
        <v>23</v>
      </c>
      <c r="C829" t="s">
        <v>14</v>
      </c>
      <c r="D829" t="s">
        <v>36</v>
      </c>
      <c r="E829" t="s">
        <v>24</v>
      </c>
      <c r="F829" t="s">
        <v>33</v>
      </c>
      <c r="G829" s="4">
        <v>5</v>
      </c>
      <c r="H829" t="s">
        <v>43</v>
      </c>
      <c r="I829" s="4">
        <v>655</v>
      </c>
      <c r="J829" t="s">
        <v>35</v>
      </c>
      <c r="K829" t="s">
        <v>34</v>
      </c>
      <c r="L829" t="s">
        <v>21</v>
      </c>
      <c r="M829" t="s">
        <v>31</v>
      </c>
      <c r="N829">
        <v>5</v>
      </c>
    </row>
    <row r="830" spans="1:14" x14ac:dyDescent="0.25">
      <c r="A830">
        <v>829</v>
      </c>
      <c r="B830">
        <v>40</v>
      </c>
      <c r="C830" t="s">
        <v>14</v>
      </c>
      <c r="D830" t="s">
        <v>15</v>
      </c>
      <c r="E830" t="s">
        <v>16</v>
      </c>
      <c r="F830" t="s">
        <v>45</v>
      </c>
      <c r="G830" s="4">
        <v>13</v>
      </c>
      <c r="H830" t="s">
        <v>40</v>
      </c>
      <c r="I830" s="4">
        <v>2261</v>
      </c>
      <c r="J830" t="s">
        <v>35</v>
      </c>
      <c r="K830" t="s">
        <v>48</v>
      </c>
      <c r="L830" t="s">
        <v>21</v>
      </c>
      <c r="M830" t="s">
        <v>31</v>
      </c>
      <c r="N830">
        <v>1</v>
      </c>
    </row>
    <row r="831" spans="1:14" x14ac:dyDescent="0.25">
      <c r="A831">
        <v>830</v>
      </c>
      <c r="B831">
        <v>22</v>
      </c>
      <c r="C831" t="s">
        <v>14</v>
      </c>
      <c r="D831" t="s">
        <v>36</v>
      </c>
      <c r="E831" t="s">
        <v>16</v>
      </c>
      <c r="F831" t="s">
        <v>33</v>
      </c>
      <c r="G831" s="4">
        <v>13</v>
      </c>
      <c r="H831" t="s">
        <v>34</v>
      </c>
      <c r="I831" s="4">
        <v>211</v>
      </c>
      <c r="J831" t="s">
        <v>50</v>
      </c>
      <c r="K831" t="s">
        <v>34</v>
      </c>
      <c r="L831" t="s">
        <v>21</v>
      </c>
      <c r="M831" t="s">
        <v>31</v>
      </c>
      <c r="N831">
        <v>2</v>
      </c>
    </row>
    <row r="832" spans="1:14" x14ac:dyDescent="0.25">
      <c r="A832">
        <v>831</v>
      </c>
      <c r="B832">
        <v>22</v>
      </c>
      <c r="C832" t="s">
        <v>29</v>
      </c>
      <c r="D832" t="s">
        <v>15</v>
      </c>
      <c r="E832" t="s">
        <v>24</v>
      </c>
      <c r="F832" t="s">
        <v>33</v>
      </c>
      <c r="G832" s="4">
        <v>18</v>
      </c>
      <c r="H832" t="s">
        <v>34</v>
      </c>
      <c r="I832" s="4">
        <v>2504</v>
      </c>
      <c r="J832" t="s">
        <v>27</v>
      </c>
      <c r="K832" t="s">
        <v>34</v>
      </c>
      <c r="L832" t="s">
        <v>21</v>
      </c>
      <c r="M832" t="s">
        <v>31</v>
      </c>
      <c r="N832">
        <v>3</v>
      </c>
    </row>
    <row r="833" spans="1:14" x14ac:dyDescent="0.25">
      <c r="A833">
        <v>832</v>
      </c>
      <c r="B833">
        <v>18</v>
      </c>
      <c r="C833" t="s">
        <v>14</v>
      </c>
      <c r="D833" t="s">
        <v>36</v>
      </c>
      <c r="E833" t="s">
        <v>24</v>
      </c>
      <c r="F833" t="s">
        <v>17</v>
      </c>
      <c r="G833" s="4">
        <v>22</v>
      </c>
      <c r="H833" t="s">
        <v>26</v>
      </c>
      <c r="I833" s="4">
        <v>2692</v>
      </c>
      <c r="J833" t="s">
        <v>35</v>
      </c>
      <c r="K833" t="s">
        <v>38</v>
      </c>
      <c r="L833" t="s">
        <v>28</v>
      </c>
      <c r="M833" t="s">
        <v>22</v>
      </c>
      <c r="N833">
        <v>5</v>
      </c>
    </row>
    <row r="834" spans="1:14" x14ac:dyDescent="0.25">
      <c r="A834">
        <v>833</v>
      </c>
      <c r="B834">
        <v>28</v>
      </c>
      <c r="C834" t="s">
        <v>23</v>
      </c>
      <c r="D834" t="s">
        <v>32</v>
      </c>
      <c r="E834" t="s">
        <v>16</v>
      </c>
      <c r="F834" t="s">
        <v>42</v>
      </c>
      <c r="G834" s="4">
        <v>13</v>
      </c>
      <c r="H834" t="s">
        <v>40</v>
      </c>
      <c r="I834" s="4">
        <v>835</v>
      </c>
      <c r="J834" t="s">
        <v>45</v>
      </c>
      <c r="K834" t="s">
        <v>34</v>
      </c>
      <c r="L834" t="s">
        <v>21</v>
      </c>
      <c r="M834" t="s">
        <v>31</v>
      </c>
      <c r="N834">
        <v>5</v>
      </c>
    </row>
    <row r="835" spans="1:14" x14ac:dyDescent="0.25">
      <c r="A835">
        <v>834</v>
      </c>
      <c r="B835">
        <v>20</v>
      </c>
      <c r="C835" t="s">
        <v>14</v>
      </c>
      <c r="D835" t="s">
        <v>15</v>
      </c>
      <c r="E835" t="s">
        <v>16</v>
      </c>
      <c r="F835" t="s">
        <v>45</v>
      </c>
      <c r="G835" s="4">
        <v>20</v>
      </c>
      <c r="H835" t="s">
        <v>43</v>
      </c>
      <c r="I835" s="4">
        <v>743</v>
      </c>
      <c r="J835" t="s">
        <v>44</v>
      </c>
      <c r="K835" t="s">
        <v>34</v>
      </c>
      <c r="L835" t="s">
        <v>21</v>
      </c>
      <c r="M835" t="s">
        <v>31</v>
      </c>
      <c r="N835">
        <v>4</v>
      </c>
    </row>
    <row r="836" spans="1:14" x14ac:dyDescent="0.25">
      <c r="A836">
        <v>835</v>
      </c>
      <c r="B836">
        <v>23</v>
      </c>
      <c r="C836" t="s">
        <v>14</v>
      </c>
      <c r="D836" t="s">
        <v>15</v>
      </c>
      <c r="E836" t="s">
        <v>16</v>
      </c>
      <c r="F836" t="s">
        <v>33</v>
      </c>
      <c r="G836" s="4">
        <v>10</v>
      </c>
      <c r="H836" t="s">
        <v>26</v>
      </c>
      <c r="I836" s="4">
        <v>1614</v>
      </c>
      <c r="J836" t="s">
        <v>27</v>
      </c>
      <c r="K836" t="s">
        <v>20</v>
      </c>
      <c r="L836" t="s">
        <v>28</v>
      </c>
      <c r="M836" t="s">
        <v>22</v>
      </c>
      <c r="N836">
        <v>5</v>
      </c>
    </row>
    <row r="837" spans="1:14" x14ac:dyDescent="0.25">
      <c r="A837">
        <v>836</v>
      </c>
      <c r="B837">
        <v>34</v>
      </c>
      <c r="C837" t="s">
        <v>23</v>
      </c>
      <c r="D837" t="s">
        <v>15</v>
      </c>
      <c r="E837" t="s">
        <v>39</v>
      </c>
      <c r="F837" t="s">
        <v>42</v>
      </c>
      <c r="G837" s="4">
        <v>9</v>
      </c>
      <c r="H837" t="s">
        <v>47</v>
      </c>
      <c r="I837" s="4">
        <v>2976</v>
      </c>
      <c r="J837" t="s">
        <v>19</v>
      </c>
      <c r="K837" t="s">
        <v>48</v>
      </c>
      <c r="L837" t="s">
        <v>21</v>
      </c>
      <c r="M837" t="s">
        <v>22</v>
      </c>
      <c r="N837">
        <v>1</v>
      </c>
    </row>
    <row r="838" spans="1:14" x14ac:dyDescent="0.25">
      <c r="A838">
        <v>837</v>
      </c>
      <c r="B838">
        <v>25</v>
      </c>
      <c r="C838" t="s">
        <v>14</v>
      </c>
      <c r="D838" t="s">
        <v>36</v>
      </c>
      <c r="E838" t="s">
        <v>24</v>
      </c>
      <c r="F838" t="s">
        <v>33</v>
      </c>
      <c r="G838" s="4">
        <v>29</v>
      </c>
      <c r="H838" t="s">
        <v>47</v>
      </c>
      <c r="I838" s="4">
        <v>342</v>
      </c>
      <c r="J838" t="s">
        <v>19</v>
      </c>
      <c r="K838" t="s">
        <v>34</v>
      </c>
      <c r="L838" t="s">
        <v>21</v>
      </c>
      <c r="M838" t="s">
        <v>22</v>
      </c>
      <c r="N838">
        <v>3</v>
      </c>
    </row>
    <row r="839" spans="1:14" x14ac:dyDescent="0.25">
      <c r="A839">
        <v>838</v>
      </c>
      <c r="B839">
        <v>22</v>
      </c>
      <c r="C839" t="s">
        <v>14</v>
      </c>
      <c r="D839" t="s">
        <v>32</v>
      </c>
      <c r="E839" t="s">
        <v>39</v>
      </c>
      <c r="F839" t="s">
        <v>42</v>
      </c>
      <c r="G839" s="4">
        <v>20</v>
      </c>
      <c r="H839" t="s">
        <v>37</v>
      </c>
      <c r="I839" s="4">
        <v>2305</v>
      </c>
      <c r="J839" t="s">
        <v>27</v>
      </c>
      <c r="K839" t="s">
        <v>48</v>
      </c>
      <c r="L839" t="s">
        <v>28</v>
      </c>
      <c r="M839" t="s">
        <v>22</v>
      </c>
      <c r="N839">
        <v>4</v>
      </c>
    </row>
    <row r="840" spans="1:14" x14ac:dyDescent="0.25">
      <c r="A840">
        <v>839</v>
      </c>
      <c r="B840">
        <v>18</v>
      </c>
      <c r="C840" t="s">
        <v>29</v>
      </c>
      <c r="D840" t="s">
        <v>15</v>
      </c>
      <c r="E840" t="s">
        <v>24</v>
      </c>
      <c r="F840" t="s">
        <v>42</v>
      </c>
      <c r="G840" s="4">
        <v>6</v>
      </c>
      <c r="H840" t="s">
        <v>37</v>
      </c>
      <c r="I840" s="4">
        <v>421</v>
      </c>
      <c r="J840" t="s">
        <v>41</v>
      </c>
      <c r="K840" t="s">
        <v>38</v>
      </c>
      <c r="L840" t="s">
        <v>21</v>
      </c>
      <c r="M840" t="s">
        <v>22</v>
      </c>
      <c r="N840">
        <v>5</v>
      </c>
    </row>
    <row r="841" spans="1:14" x14ac:dyDescent="0.25">
      <c r="A841">
        <v>840</v>
      </c>
      <c r="B841">
        <v>31</v>
      </c>
      <c r="C841" t="s">
        <v>23</v>
      </c>
      <c r="D841" t="s">
        <v>32</v>
      </c>
      <c r="E841" t="s">
        <v>16</v>
      </c>
      <c r="F841" t="s">
        <v>17</v>
      </c>
      <c r="G841" s="4">
        <v>17</v>
      </c>
      <c r="H841" t="s">
        <v>26</v>
      </c>
      <c r="I841" s="4">
        <v>603</v>
      </c>
      <c r="J841" t="s">
        <v>19</v>
      </c>
      <c r="K841" t="s">
        <v>20</v>
      </c>
      <c r="L841" t="s">
        <v>21</v>
      </c>
      <c r="M841" t="s">
        <v>22</v>
      </c>
      <c r="N841">
        <v>3</v>
      </c>
    </row>
    <row r="842" spans="1:14" x14ac:dyDescent="0.25">
      <c r="A842">
        <v>841</v>
      </c>
      <c r="B842">
        <v>25</v>
      </c>
      <c r="C842" t="s">
        <v>14</v>
      </c>
      <c r="D842" t="s">
        <v>36</v>
      </c>
      <c r="E842" t="s">
        <v>39</v>
      </c>
      <c r="F842" t="s">
        <v>33</v>
      </c>
      <c r="G842" s="4">
        <v>8</v>
      </c>
      <c r="H842" t="s">
        <v>34</v>
      </c>
      <c r="I842" s="4">
        <v>1154</v>
      </c>
      <c r="J842" t="s">
        <v>19</v>
      </c>
      <c r="K842" t="s">
        <v>48</v>
      </c>
      <c r="L842" t="s">
        <v>21</v>
      </c>
      <c r="M842" t="s">
        <v>22</v>
      </c>
      <c r="N842">
        <v>3</v>
      </c>
    </row>
    <row r="843" spans="1:14" x14ac:dyDescent="0.25">
      <c r="A843">
        <v>842</v>
      </c>
      <c r="B843">
        <v>31</v>
      </c>
      <c r="C843" t="s">
        <v>14</v>
      </c>
      <c r="D843" t="s">
        <v>36</v>
      </c>
      <c r="E843" t="s">
        <v>39</v>
      </c>
      <c r="F843" t="s">
        <v>25</v>
      </c>
      <c r="G843" s="4">
        <v>21</v>
      </c>
      <c r="H843" t="s">
        <v>46</v>
      </c>
      <c r="I843" s="4">
        <v>1371</v>
      </c>
      <c r="J843" t="s">
        <v>35</v>
      </c>
      <c r="K843" t="s">
        <v>34</v>
      </c>
      <c r="L843" t="s">
        <v>21</v>
      </c>
      <c r="M843" t="s">
        <v>31</v>
      </c>
      <c r="N843">
        <v>5</v>
      </c>
    </row>
    <row r="844" spans="1:14" x14ac:dyDescent="0.25">
      <c r="A844">
        <v>843</v>
      </c>
      <c r="B844">
        <v>33</v>
      </c>
      <c r="C844" t="s">
        <v>23</v>
      </c>
      <c r="D844" t="s">
        <v>15</v>
      </c>
      <c r="E844" t="s">
        <v>16</v>
      </c>
      <c r="F844" t="s">
        <v>25</v>
      </c>
      <c r="G844" s="4">
        <v>26</v>
      </c>
      <c r="H844" t="s">
        <v>37</v>
      </c>
      <c r="I844" s="4">
        <v>1511</v>
      </c>
      <c r="J844" t="s">
        <v>50</v>
      </c>
      <c r="K844" t="s">
        <v>38</v>
      </c>
      <c r="L844" t="s">
        <v>28</v>
      </c>
      <c r="M844" t="s">
        <v>31</v>
      </c>
      <c r="N844">
        <v>3</v>
      </c>
    </row>
    <row r="845" spans="1:14" x14ac:dyDescent="0.25">
      <c r="A845">
        <v>844</v>
      </c>
      <c r="B845">
        <v>33</v>
      </c>
      <c r="C845" t="s">
        <v>29</v>
      </c>
      <c r="D845" t="s">
        <v>36</v>
      </c>
      <c r="E845" t="s">
        <v>39</v>
      </c>
      <c r="F845" t="s">
        <v>25</v>
      </c>
      <c r="G845" s="4">
        <v>7</v>
      </c>
      <c r="H845" t="s">
        <v>18</v>
      </c>
      <c r="I845" s="4">
        <v>463</v>
      </c>
      <c r="J845" t="s">
        <v>50</v>
      </c>
      <c r="K845" t="s">
        <v>38</v>
      </c>
      <c r="L845" t="s">
        <v>21</v>
      </c>
      <c r="M845" t="s">
        <v>31</v>
      </c>
      <c r="N845">
        <v>5</v>
      </c>
    </row>
    <row r="846" spans="1:14" x14ac:dyDescent="0.25">
      <c r="A846">
        <v>845</v>
      </c>
      <c r="B846">
        <v>29</v>
      </c>
      <c r="C846" t="s">
        <v>29</v>
      </c>
      <c r="D846" t="s">
        <v>36</v>
      </c>
      <c r="E846" t="s">
        <v>39</v>
      </c>
      <c r="F846" t="s">
        <v>45</v>
      </c>
      <c r="G846" s="4">
        <v>15</v>
      </c>
      <c r="H846" t="s">
        <v>34</v>
      </c>
      <c r="I846" s="4">
        <v>2024</v>
      </c>
      <c r="J846" t="s">
        <v>44</v>
      </c>
      <c r="K846" t="s">
        <v>38</v>
      </c>
      <c r="L846" t="s">
        <v>28</v>
      </c>
      <c r="M846" t="s">
        <v>31</v>
      </c>
      <c r="N846">
        <v>4</v>
      </c>
    </row>
    <row r="847" spans="1:14" x14ac:dyDescent="0.25">
      <c r="A847">
        <v>846</v>
      </c>
      <c r="B847">
        <v>35</v>
      </c>
      <c r="C847" t="s">
        <v>29</v>
      </c>
      <c r="D847" t="s">
        <v>36</v>
      </c>
      <c r="E847" t="s">
        <v>24</v>
      </c>
      <c r="F847" t="s">
        <v>25</v>
      </c>
      <c r="G847" s="4">
        <v>20</v>
      </c>
      <c r="H847" t="s">
        <v>26</v>
      </c>
      <c r="I847" s="4">
        <v>2206</v>
      </c>
      <c r="J847" t="s">
        <v>19</v>
      </c>
      <c r="K847" t="s">
        <v>20</v>
      </c>
      <c r="L847" t="s">
        <v>21</v>
      </c>
      <c r="M847" t="s">
        <v>22</v>
      </c>
      <c r="N847">
        <v>5</v>
      </c>
    </row>
    <row r="848" spans="1:14" x14ac:dyDescent="0.25">
      <c r="A848">
        <v>847</v>
      </c>
      <c r="B848">
        <v>25</v>
      </c>
      <c r="C848" t="s">
        <v>14</v>
      </c>
      <c r="D848" t="s">
        <v>32</v>
      </c>
      <c r="E848" t="s">
        <v>24</v>
      </c>
      <c r="F848" t="s">
        <v>42</v>
      </c>
      <c r="G848" s="4">
        <v>16</v>
      </c>
      <c r="H848" t="s">
        <v>37</v>
      </c>
      <c r="I848" s="4">
        <v>11</v>
      </c>
      <c r="J848" t="s">
        <v>19</v>
      </c>
      <c r="K848" t="s">
        <v>48</v>
      </c>
      <c r="L848" t="s">
        <v>28</v>
      </c>
      <c r="M848" t="s">
        <v>31</v>
      </c>
      <c r="N848">
        <v>2</v>
      </c>
    </row>
    <row r="849" spans="1:14" x14ac:dyDescent="0.25">
      <c r="A849">
        <v>848</v>
      </c>
      <c r="B849">
        <v>22</v>
      </c>
      <c r="C849" t="s">
        <v>23</v>
      </c>
      <c r="D849" t="s">
        <v>32</v>
      </c>
      <c r="E849" t="s">
        <v>16</v>
      </c>
      <c r="F849" t="s">
        <v>25</v>
      </c>
      <c r="G849" s="4">
        <v>14</v>
      </c>
      <c r="H849" t="s">
        <v>40</v>
      </c>
      <c r="I849" s="4">
        <v>1885</v>
      </c>
      <c r="J849" t="s">
        <v>41</v>
      </c>
      <c r="K849" t="s">
        <v>38</v>
      </c>
      <c r="L849" t="s">
        <v>21</v>
      </c>
      <c r="M849" t="s">
        <v>22</v>
      </c>
      <c r="N849">
        <v>2</v>
      </c>
    </row>
    <row r="850" spans="1:14" x14ac:dyDescent="0.25">
      <c r="A850">
        <v>849</v>
      </c>
      <c r="B850">
        <v>30</v>
      </c>
      <c r="C850" t="s">
        <v>29</v>
      </c>
      <c r="D850" t="s">
        <v>15</v>
      </c>
      <c r="E850" t="s">
        <v>24</v>
      </c>
      <c r="F850" t="s">
        <v>33</v>
      </c>
      <c r="G850" s="4">
        <v>28</v>
      </c>
      <c r="H850" t="s">
        <v>18</v>
      </c>
      <c r="I850" s="4">
        <v>107</v>
      </c>
      <c r="J850" t="s">
        <v>49</v>
      </c>
      <c r="K850" t="s">
        <v>38</v>
      </c>
      <c r="L850" t="s">
        <v>21</v>
      </c>
      <c r="M850" t="s">
        <v>22</v>
      </c>
      <c r="N850">
        <v>4</v>
      </c>
    </row>
    <row r="851" spans="1:14" x14ac:dyDescent="0.25">
      <c r="A851">
        <v>850</v>
      </c>
      <c r="B851">
        <v>29</v>
      </c>
      <c r="C851" t="s">
        <v>14</v>
      </c>
      <c r="D851" t="s">
        <v>15</v>
      </c>
      <c r="E851" t="s">
        <v>24</v>
      </c>
      <c r="F851" t="s">
        <v>42</v>
      </c>
      <c r="G851" s="4">
        <v>9</v>
      </c>
      <c r="H851" t="s">
        <v>37</v>
      </c>
      <c r="I851" s="4">
        <v>323</v>
      </c>
      <c r="J851" t="s">
        <v>44</v>
      </c>
      <c r="K851" t="s">
        <v>20</v>
      </c>
      <c r="L851" t="s">
        <v>21</v>
      </c>
      <c r="M851" t="s">
        <v>31</v>
      </c>
      <c r="N851">
        <v>2</v>
      </c>
    </row>
    <row r="852" spans="1:14" x14ac:dyDescent="0.25">
      <c r="A852">
        <v>851</v>
      </c>
      <c r="B852">
        <v>33</v>
      </c>
      <c r="C852" t="s">
        <v>29</v>
      </c>
      <c r="D852" t="s">
        <v>36</v>
      </c>
      <c r="E852" t="s">
        <v>24</v>
      </c>
      <c r="F852" t="s">
        <v>33</v>
      </c>
      <c r="G852" s="4">
        <v>18</v>
      </c>
      <c r="H852" t="s">
        <v>46</v>
      </c>
      <c r="I852" s="4">
        <v>2959</v>
      </c>
      <c r="J852" t="s">
        <v>19</v>
      </c>
      <c r="K852" t="s">
        <v>38</v>
      </c>
      <c r="L852" t="s">
        <v>21</v>
      </c>
      <c r="M852" t="s">
        <v>22</v>
      </c>
      <c r="N852">
        <v>3</v>
      </c>
    </row>
    <row r="853" spans="1:14" x14ac:dyDescent="0.25">
      <c r="A853">
        <v>852</v>
      </c>
      <c r="B853">
        <v>37</v>
      </c>
      <c r="C853" t="s">
        <v>14</v>
      </c>
      <c r="D853" t="s">
        <v>15</v>
      </c>
      <c r="E853" t="s">
        <v>39</v>
      </c>
      <c r="F853" t="s">
        <v>42</v>
      </c>
      <c r="G853" s="4">
        <v>29</v>
      </c>
      <c r="H853" t="s">
        <v>43</v>
      </c>
      <c r="I853" s="4">
        <v>710</v>
      </c>
      <c r="J853" t="s">
        <v>35</v>
      </c>
      <c r="K853" t="s">
        <v>34</v>
      </c>
      <c r="L853" t="s">
        <v>21</v>
      </c>
      <c r="M853" t="s">
        <v>31</v>
      </c>
      <c r="N853">
        <v>5</v>
      </c>
    </row>
    <row r="854" spans="1:14" x14ac:dyDescent="0.25">
      <c r="A854">
        <v>853</v>
      </c>
      <c r="B854">
        <v>23</v>
      </c>
      <c r="C854" t="s">
        <v>29</v>
      </c>
      <c r="D854" t="s">
        <v>15</v>
      </c>
      <c r="E854" t="s">
        <v>24</v>
      </c>
      <c r="F854" t="s">
        <v>25</v>
      </c>
      <c r="G854" s="4">
        <v>13</v>
      </c>
      <c r="H854" t="s">
        <v>26</v>
      </c>
      <c r="I854" s="4">
        <v>376</v>
      </c>
      <c r="J854" t="s">
        <v>41</v>
      </c>
      <c r="K854" t="s">
        <v>38</v>
      </c>
      <c r="L854" t="s">
        <v>28</v>
      </c>
      <c r="M854" t="s">
        <v>22</v>
      </c>
      <c r="N854">
        <v>5</v>
      </c>
    </row>
    <row r="855" spans="1:14" x14ac:dyDescent="0.25">
      <c r="A855">
        <v>854</v>
      </c>
      <c r="B855">
        <v>35</v>
      </c>
      <c r="C855" t="s">
        <v>29</v>
      </c>
      <c r="D855" t="s">
        <v>32</v>
      </c>
      <c r="E855" t="s">
        <v>24</v>
      </c>
      <c r="F855" t="s">
        <v>17</v>
      </c>
      <c r="G855" s="4">
        <v>24</v>
      </c>
      <c r="H855" t="s">
        <v>26</v>
      </c>
      <c r="I855" s="4">
        <v>316</v>
      </c>
      <c r="J855" t="s">
        <v>45</v>
      </c>
      <c r="K855" t="s">
        <v>38</v>
      </c>
      <c r="L855" t="s">
        <v>21</v>
      </c>
      <c r="M855" t="s">
        <v>31</v>
      </c>
      <c r="N855">
        <v>4</v>
      </c>
    </row>
    <row r="856" spans="1:14" x14ac:dyDescent="0.25">
      <c r="A856">
        <v>855</v>
      </c>
      <c r="B856">
        <v>38</v>
      </c>
      <c r="C856" t="s">
        <v>14</v>
      </c>
      <c r="D856" t="s">
        <v>15</v>
      </c>
      <c r="E856" t="s">
        <v>16</v>
      </c>
      <c r="F856" t="s">
        <v>30</v>
      </c>
      <c r="G856" s="4">
        <v>18</v>
      </c>
      <c r="H856" t="s">
        <v>34</v>
      </c>
      <c r="I856" s="4">
        <v>797</v>
      </c>
      <c r="J856" t="s">
        <v>41</v>
      </c>
      <c r="K856" t="s">
        <v>38</v>
      </c>
      <c r="L856" t="s">
        <v>28</v>
      </c>
      <c r="M856" t="s">
        <v>22</v>
      </c>
      <c r="N856">
        <v>3</v>
      </c>
    </row>
    <row r="857" spans="1:14" x14ac:dyDescent="0.25">
      <c r="A857">
        <v>856</v>
      </c>
      <c r="B857">
        <v>35</v>
      </c>
      <c r="C857" t="s">
        <v>23</v>
      </c>
      <c r="D857" t="s">
        <v>15</v>
      </c>
      <c r="E857" t="s">
        <v>39</v>
      </c>
      <c r="F857" t="s">
        <v>25</v>
      </c>
      <c r="G857" s="4">
        <v>8</v>
      </c>
      <c r="H857" t="s">
        <v>40</v>
      </c>
      <c r="I857" s="4">
        <v>267</v>
      </c>
      <c r="J857" t="s">
        <v>41</v>
      </c>
      <c r="K857" t="s">
        <v>38</v>
      </c>
      <c r="L857" t="s">
        <v>28</v>
      </c>
      <c r="M857" t="s">
        <v>22</v>
      </c>
      <c r="N857">
        <v>2</v>
      </c>
    </row>
    <row r="858" spans="1:14" x14ac:dyDescent="0.25">
      <c r="A858">
        <v>857</v>
      </c>
      <c r="B858">
        <v>36</v>
      </c>
      <c r="C858" t="s">
        <v>29</v>
      </c>
      <c r="D858" t="s">
        <v>15</v>
      </c>
      <c r="E858" t="s">
        <v>16</v>
      </c>
      <c r="F858" t="s">
        <v>30</v>
      </c>
      <c r="G858" s="4">
        <v>23</v>
      </c>
      <c r="H858" t="s">
        <v>18</v>
      </c>
      <c r="I858" s="4">
        <v>183</v>
      </c>
      <c r="J858" t="s">
        <v>35</v>
      </c>
      <c r="K858" t="s">
        <v>48</v>
      </c>
      <c r="L858" t="s">
        <v>28</v>
      </c>
      <c r="M858" t="s">
        <v>31</v>
      </c>
      <c r="N858">
        <v>5</v>
      </c>
    </row>
    <row r="859" spans="1:14" x14ac:dyDescent="0.25">
      <c r="A859">
        <v>858</v>
      </c>
      <c r="B859">
        <v>30</v>
      </c>
      <c r="C859" t="s">
        <v>29</v>
      </c>
      <c r="D859" t="s">
        <v>36</v>
      </c>
      <c r="E859" t="s">
        <v>39</v>
      </c>
      <c r="F859" t="s">
        <v>25</v>
      </c>
      <c r="G859" s="4">
        <v>21</v>
      </c>
      <c r="H859" t="s">
        <v>18</v>
      </c>
      <c r="I859" s="4">
        <v>798</v>
      </c>
      <c r="J859" t="s">
        <v>50</v>
      </c>
      <c r="K859" t="s">
        <v>20</v>
      </c>
      <c r="L859" t="s">
        <v>21</v>
      </c>
      <c r="M859" t="s">
        <v>22</v>
      </c>
      <c r="N859">
        <v>3</v>
      </c>
    </row>
    <row r="860" spans="1:14" x14ac:dyDescent="0.25">
      <c r="A860">
        <v>859</v>
      </c>
      <c r="B860">
        <v>18</v>
      </c>
      <c r="C860" t="s">
        <v>23</v>
      </c>
      <c r="D860" t="s">
        <v>15</v>
      </c>
      <c r="E860" t="s">
        <v>39</v>
      </c>
      <c r="F860" t="s">
        <v>25</v>
      </c>
      <c r="G860" s="4">
        <v>23</v>
      </c>
      <c r="H860" t="s">
        <v>37</v>
      </c>
      <c r="I860" s="4">
        <v>1565</v>
      </c>
      <c r="J860" t="s">
        <v>49</v>
      </c>
      <c r="K860" t="s">
        <v>48</v>
      </c>
      <c r="L860" t="s">
        <v>21</v>
      </c>
      <c r="M860" t="s">
        <v>22</v>
      </c>
      <c r="N860">
        <v>4</v>
      </c>
    </row>
    <row r="861" spans="1:14" x14ac:dyDescent="0.25">
      <c r="A861">
        <v>860</v>
      </c>
      <c r="B861">
        <v>24</v>
      </c>
      <c r="C861" t="s">
        <v>23</v>
      </c>
      <c r="D861" t="s">
        <v>15</v>
      </c>
      <c r="E861" t="s">
        <v>24</v>
      </c>
      <c r="F861" t="s">
        <v>45</v>
      </c>
      <c r="G861" s="4">
        <v>30</v>
      </c>
      <c r="H861" t="s">
        <v>34</v>
      </c>
      <c r="I861" s="4">
        <v>2791</v>
      </c>
      <c r="J861" t="s">
        <v>49</v>
      </c>
      <c r="K861" t="s">
        <v>38</v>
      </c>
      <c r="L861" t="s">
        <v>28</v>
      </c>
      <c r="M861" t="s">
        <v>31</v>
      </c>
      <c r="N861">
        <v>2</v>
      </c>
    </row>
    <row r="862" spans="1:14" x14ac:dyDescent="0.25">
      <c r="A862">
        <v>861</v>
      </c>
      <c r="B862">
        <v>29</v>
      </c>
      <c r="C862" t="s">
        <v>23</v>
      </c>
      <c r="D862" t="s">
        <v>36</v>
      </c>
      <c r="E862" t="s">
        <v>39</v>
      </c>
      <c r="F862" t="s">
        <v>25</v>
      </c>
      <c r="G862" s="4">
        <v>24</v>
      </c>
      <c r="H862" t="s">
        <v>40</v>
      </c>
      <c r="I862" s="4">
        <v>1764</v>
      </c>
      <c r="J862" t="s">
        <v>19</v>
      </c>
      <c r="K862" t="s">
        <v>38</v>
      </c>
      <c r="L862" t="s">
        <v>28</v>
      </c>
      <c r="M862" t="s">
        <v>22</v>
      </c>
      <c r="N862">
        <v>1</v>
      </c>
    </row>
    <row r="863" spans="1:14" x14ac:dyDescent="0.25">
      <c r="A863">
        <v>862</v>
      </c>
      <c r="B863">
        <v>18</v>
      </c>
      <c r="C863" t="s">
        <v>14</v>
      </c>
      <c r="D863" t="s">
        <v>32</v>
      </c>
      <c r="E863" t="s">
        <v>16</v>
      </c>
      <c r="F863" t="s">
        <v>42</v>
      </c>
      <c r="G863" s="4">
        <v>9</v>
      </c>
      <c r="H863" t="s">
        <v>34</v>
      </c>
      <c r="I863" s="4">
        <v>1267</v>
      </c>
      <c r="J863" t="s">
        <v>44</v>
      </c>
      <c r="K863" t="s">
        <v>34</v>
      </c>
      <c r="L863" t="s">
        <v>21</v>
      </c>
      <c r="M863" t="s">
        <v>22</v>
      </c>
      <c r="N863">
        <v>5</v>
      </c>
    </row>
    <row r="864" spans="1:14" x14ac:dyDescent="0.25">
      <c r="A864">
        <v>863</v>
      </c>
      <c r="B864">
        <v>26</v>
      </c>
      <c r="C864" t="s">
        <v>14</v>
      </c>
      <c r="D864" t="s">
        <v>15</v>
      </c>
      <c r="E864" t="s">
        <v>16</v>
      </c>
      <c r="F864" t="s">
        <v>17</v>
      </c>
      <c r="G864" s="4">
        <v>23</v>
      </c>
      <c r="H864" t="s">
        <v>43</v>
      </c>
      <c r="I864" s="4">
        <v>1488</v>
      </c>
      <c r="J864" t="s">
        <v>35</v>
      </c>
      <c r="K864" t="s">
        <v>20</v>
      </c>
      <c r="L864" t="s">
        <v>28</v>
      </c>
      <c r="M864" t="s">
        <v>31</v>
      </c>
      <c r="N864">
        <v>3</v>
      </c>
    </row>
    <row r="865" spans="1:14" x14ac:dyDescent="0.25">
      <c r="A865">
        <v>864</v>
      </c>
      <c r="B865">
        <v>38</v>
      </c>
      <c r="C865" t="s">
        <v>29</v>
      </c>
      <c r="D865" t="s">
        <v>15</v>
      </c>
      <c r="E865" t="s">
        <v>39</v>
      </c>
      <c r="F865" t="s">
        <v>30</v>
      </c>
      <c r="G865" s="4">
        <v>9</v>
      </c>
      <c r="H865" t="s">
        <v>26</v>
      </c>
      <c r="I865" s="4">
        <v>507</v>
      </c>
      <c r="J865" t="s">
        <v>45</v>
      </c>
      <c r="K865" t="s">
        <v>38</v>
      </c>
      <c r="L865" t="s">
        <v>28</v>
      </c>
      <c r="M865" t="s">
        <v>31</v>
      </c>
      <c r="N865">
        <v>5</v>
      </c>
    </row>
    <row r="866" spans="1:14" x14ac:dyDescent="0.25">
      <c r="A866">
        <v>865</v>
      </c>
      <c r="B866">
        <v>34</v>
      </c>
      <c r="C866" t="s">
        <v>14</v>
      </c>
      <c r="D866" t="s">
        <v>36</v>
      </c>
      <c r="E866" t="s">
        <v>39</v>
      </c>
      <c r="F866" t="s">
        <v>45</v>
      </c>
      <c r="G866" s="4">
        <v>24</v>
      </c>
      <c r="H866" t="s">
        <v>43</v>
      </c>
      <c r="I866" s="4">
        <v>1284</v>
      </c>
      <c r="J866" t="s">
        <v>35</v>
      </c>
      <c r="K866" t="s">
        <v>48</v>
      </c>
      <c r="L866" t="s">
        <v>21</v>
      </c>
      <c r="M866" t="s">
        <v>22</v>
      </c>
      <c r="N866">
        <v>3</v>
      </c>
    </row>
    <row r="867" spans="1:14" x14ac:dyDescent="0.25">
      <c r="A867">
        <v>866</v>
      </c>
      <c r="B867">
        <v>40</v>
      </c>
      <c r="C867" t="s">
        <v>14</v>
      </c>
      <c r="D867" t="s">
        <v>32</v>
      </c>
      <c r="E867" t="s">
        <v>39</v>
      </c>
      <c r="F867" t="s">
        <v>25</v>
      </c>
      <c r="G867" s="4">
        <v>22</v>
      </c>
      <c r="H867" t="s">
        <v>26</v>
      </c>
      <c r="I867" s="4">
        <v>32</v>
      </c>
      <c r="J867" t="s">
        <v>19</v>
      </c>
      <c r="K867" t="s">
        <v>38</v>
      </c>
      <c r="L867" t="s">
        <v>28</v>
      </c>
      <c r="M867" t="s">
        <v>31</v>
      </c>
      <c r="N867">
        <v>2</v>
      </c>
    </row>
    <row r="868" spans="1:14" x14ac:dyDescent="0.25">
      <c r="A868">
        <v>867</v>
      </c>
      <c r="B868">
        <v>39</v>
      </c>
      <c r="C868" t="s">
        <v>29</v>
      </c>
      <c r="D868" t="s">
        <v>36</v>
      </c>
      <c r="E868" t="s">
        <v>24</v>
      </c>
      <c r="F868" t="s">
        <v>42</v>
      </c>
      <c r="G868" s="4">
        <v>7</v>
      </c>
      <c r="H868" t="s">
        <v>18</v>
      </c>
      <c r="I868" s="4">
        <v>1429</v>
      </c>
      <c r="J868" t="s">
        <v>19</v>
      </c>
      <c r="K868" t="s">
        <v>38</v>
      </c>
      <c r="L868" t="s">
        <v>21</v>
      </c>
      <c r="M868" t="s">
        <v>31</v>
      </c>
      <c r="N868">
        <v>4</v>
      </c>
    </row>
    <row r="869" spans="1:14" x14ac:dyDescent="0.25">
      <c r="A869">
        <v>868</v>
      </c>
      <c r="B869">
        <v>31</v>
      </c>
      <c r="C869" t="s">
        <v>14</v>
      </c>
      <c r="D869" t="s">
        <v>32</v>
      </c>
      <c r="E869" t="s">
        <v>39</v>
      </c>
      <c r="F869" t="s">
        <v>45</v>
      </c>
      <c r="G869" s="4">
        <v>11</v>
      </c>
      <c r="H869" t="s">
        <v>43</v>
      </c>
      <c r="I869" s="4">
        <v>1644</v>
      </c>
      <c r="J869" t="s">
        <v>27</v>
      </c>
      <c r="K869" t="s">
        <v>20</v>
      </c>
      <c r="L869" t="s">
        <v>21</v>
      </c>
      <c r="M869" t="s">
        <v>31</v>
      </c>
      <c r="N869">
        <v>3</v>
      </c>
    </row>
    <row r="870" spans="1:14" x14ac:dyDescent="0.25">
      <c r="A870">
        <v>869</v>
      </c>
      <c r="B870">
        <v>32</v>
      </c>
      <c r="C870" t="s">
        <v>29</v>
      </c>
      <c r="D870" t="s">
        <v>15</v>
      </c>
      <c r="E870" t="s">
        <v>24</v>
      </c>
      <c r="F870" t="s">
        <v>25</v>
      </c>
      <c r="G870" s="4">
        <v>6</v>
      </c>
      <c r="H870" t="s">
        <v>34</v>
      </c>
      <c r="I870" s="4">
        <v>2232</v>
      </c>
      <c r="J870" t="s">
        <v>41</v>
      </c>
      <c r="K870" t="s">
        <v>20</v>
      </c>
      <c r="L870" t="s">
        <v>21</v>
      </c>
      <c r="M870" t="s">
        <v>31</v>
      </c>
      <c r="N870">
        <v>2</v>
      </c>
    </row>
    <row r="871" spans="1:14" x14ac:dyDescent="0.25">
      <c r="A871">
        <v>870</v>
      </c>
      <c r="B871">
        <v>31</v>
      </c>
      <c r="C871" t="s">
        <v>14</v>
      </c>
      <c r="D871" t="s">
        <v>15</v>
      </c>
      <c r="E871" t="s">
        <v>24</v>
      </c>
      <c r="F871" t="s">
        <v>42</v>
      </c>
      <c r="G871" s="4">
        <v>20</v>
      </c>
      <c r="H871" t="s">
        <v>46</v>
      </c>
      <c r="I871" s="4">
        <v>874</v>
      </c>
      <c r="J871" t="s">
        <v>35</v>
      </c>
      <c r="K871" t="s">
        <v>38</v>
      </c>
      <c r="L871" t="s">
        <v>21</v>
      </c>
      <c r="M871" t="s">
        <v>22</v>
      </c>
      <c r="N871">
        <v>1</v>
      </c>
    </row>
    <row r="872" spans="1:14" x14ac:dyDescent="0.25">
      <c r="A872">
        <v>871</v>
      </c>
      <c r="B872">
        <v>20</v>
      </c>
      <c r="C872" t="s">
        <v>29</v>
      </c>
      <c r="D872" t="s">
        <v>36</v>
      </c>
      <c r="E872" t="s">
        <v>39</v>
      </c>
      <c r="F872" t="s">
        <v>42</v>
      </c>
      <c r="G872" s="4">
        <v>13</v>
      </c>
      <c r="H872" t="s">
        <v>40</v>
      </c>
      <c r="I872" s="4">
        <v>1659</v>
      </c>
      <c r="J872" t="s">
        <v>35</v>
      </c>
      <c r="K872" t="s">
        <v>38</v>
      </c>
      <c r="L872" t="s">
        <v>21</v>
      </c>
      <c r="M872" t="s">
        <v>22</v>
      </c>
      <c r="N872">
        <v>1</v>
      </c>
    </row>
    <row r="873" spans="1:14" x14ac:dyDescent="0.25">
      <c r="A873">
        <v>872</v>
      </c>
      <c r="B873">
        <v>31</v>
      </c>
      <c r="C873" t="s">
        <v>14</v>
      </c>
      <c r="D873" t="s">
        <v>32</v>
      </c>
      <c r="E873" t="s">
        <v>39</v>
      </c>
      <c r="F873" t="s">
        <v>42</v>
      </c>
      <c r="G873" s="4">
        <v>15</v>
      </c>
      <c r="H873" t="s">
        <v>43</v>
      </c>
      <c r="I873" s="4">
        <v>1216</v>
      </c>
      <c r="J873" t="s">
        <v>44</v>
      </c>
      <c r="K873" t="s">
        <v>20</v>
      </c>
      <c r="L873" t="s">
        <v>28</v>
      </c>
      <c r="M873" t="s">
        <v>31</v>
      </c>
      <c r="N873">
        <v>2</v>
      </c>
    </row>
    <row r="874" spans="1:14" x14ac:dyDescent="0.25">
      <c r="A874">
        <v>873</v>
      </c>
      <c r="B874">
        <v>18</v>
      </c>
      <c r="C874" t="s">
        <v>14</v>
      </c>
      <c r="D874" t="s">
        <v>36</v>
      </c>
      <c r="E874" t="s">
        <v>24</v>
      </c>
      <c r="F874" t="s">
        <v>45</v>
      </c>
      <c r="G874" s="4">
        <v>22</v>
      </c>
      <c r="H874" t="s">
        <v>37</v>
      </c>
      <c r="I874" s="4">
        <v>2445</v>
      </c>
      <c r="J874" t="s">
        <v>50</v>
      </c>
      <c r="K874" t="s">
        <v>34</v>
      </c>
      <c r="L874" t="s">
        <v>21</v>
      </c>
      <c r="M874" t="s">
        <v>22</v>
      </c>
      <c r="N874">
        <v>2</v>
      </c>
    </row>
    <row r="875" spans="1:14" x14ac:dyDescent="0.25">
      <c r="A875">
        <v>874</v>
      </c>
      <c r="B875">
        <v>32</v>
      </c>
      <c r="C875" t="s">
        <v>14</v>
      </c>
      <c r="D875" t="s">
        <v>36</v>
      </c>
      <c r="E875" t="s">
        <v>39</v>
      </c>
      <c r="F875" t="s">
        <v>30</v>
      </c>
      <c r="G875" s="4">
        <v>9</v>
      </c>
      <c r="H875" t="s">
        <v>47</v>
      </c>
      <c r="I875" s="4">
        <v>2045</v>
      </c>
      <c r="J875" t="s">
        <v>49</v>
      </c>
      <c r="K875" t="s">
        <v>38</v>
      </c>
      <c r="L875" t="s">
        <v>28</v>
      </c>
      <c r="M875" t="s">
        <v>22</v>
      </c>
      <c r="N875">
        <v>3</v>
      </c>
    </row>
    <row r="876" spans="1:14" x14ac:dyDescent="0.25">
      <c r="A876">
        <v>875</v>
      </c>
      <c r="B876">
        <v>19</v>
      </c>
      <c r="C876" t="s">
        <v>23</v>
      </c>
      <c r="D876" t="s">
        <v>36</v>
      </c>
      <c r="E876" t="s">
        <v>16</v>
      </c>
      <c r="F876" t="s">
        <v>45</v>
      </c>
      <c r="G876" s="4">
        <v>11</v>
      </c>
      <c r="H876" t="s">
        <v>26</v>
      </c>
      <c r="I876" s="4">
        <v>768</v>
      </c>
      <c r="J876" t="s">
        <v>27</v>
      </c>
      <c r="K876" t="s">
        <v>34</v>
      </c>
      <c r="L876" t="s">
        <v>21</v>
      </c>
      <c r="M876" t="s">
        <v>22</v>
      </c>
      <c r="N876">
        <v>4</v>
      </c>
    </row>
    <row r="877" spans="1:14" x14ac:dyDescent="0.25">
      <c r="A877">
        <v>876</v>
      </c>
      <c r="B877">
        <v>39</v>
      </c>
      <c r="C877" t="s">
        <v>29</v>
      </c>
      <c r="D877" t="s">
        <v>15</v>
      </c>
      <c r="E877" t="s">
        <v>39</v>
      </c>
      <c r="F877" t="s">
        <v>30</v>
      </c>
      <c r="G877" s="4">
        <v>23</v>
      </c>
      <c r="H877" t="s">
        <v>18</v>
      </c>
      <c r="I877" s="4">
        <v>58</v>
      </c>
      <c r="J877" t="s">
        <v>49</v>
      </c>
      <c r="K877" t="s">
        <v>20</v>
      </c>
      <c r="L877" t="s">
        <v>28</v>
      </c>
      <c r="M877" t="s">
        <v>31</v>
      </c>
      <c r="N877">
        <v>3</v>
      </c>
    </row>
    <row r="878" spans="1:14" x14ac:dyDescent="0.25">
      <c r="A878">
        <v>877</v>
      </c>
      <c r="B878">
        <v>29</v>
      </c>
      <c r="C878" t="s">
        <v>23</v>
      </c>
      <c r="D878" t="s">
        <v>32</v>
      </c>
      <c r="E878" t="s">
        <v>16</v>
      </c>
      <c r="F878" t="s">
        <v>25</v>
      </c>
      <c r="G878" s="4">
        <v>16</v>
      </c>
      <c r="H878" t="s">
        <v>43</v>
      </c>
      <c r="I878" s="4">
        <v>2221</v>
      </c>
      <c r="J878" t="s">
        <v>45</v>
      </c>
      <c r="K878" t="s">
        <v>34</v>
      </c>
      <c r="L878" t="s">
        <v>21</v>
      </c>
      <c r="M878" t="s">
        <v>22</v>
      </c>
      <c r="N878">
        <v>4</v>
      </c>
    </row>
    <row r="879" spans="1:14" x14ac:dyDescent="0.25">
      <c r="A879">
        <v>878</v>
      </c>
      <c r="B879">
        <v>35</v>
      </c>
      <c r="C879" t="s">
        <v>23</v>
      </c>
      <c r="D879" t="s">
        <v>36</v>
      </c>
      <c r="E879" t="s">
        <v>24</v>
      </c>
      <c r="F879" t="s">
        <v>42</v>
      </c>
      <c r="G879" s="4">
        <v>18</v>
      </c>
      <c r="H879" t="s">
        <v>46</v>
      </c>
      <c r="I879" s="4">
        <v>1562</v>
      </c>
      <c r="J879" t="s">
        <v>19</v>
      </c>
      <c r="K879" t="s">
        <v>48</v>
      </c>
      <c r="L879" t="s">
        <v>21</v>
      </c>
      <c r="M879" t="s">
        <v>22</v>
      </c>
      <c r="N879">
        <v>3</v>
      </c>
    </row>
    <row r="880" spans="1:14" x14ac:dyDescent="0.25">
      <c r="A880">
        <v>879</v>
      </c>
      <c r="B880">
        <v>38</v>
      </c>
      <c r="C880" t="s">
        <v>14</v>
      </c>
      <c r="D880" t="s">
        <v>32</v>
      </c>
      <c r="E880" t="s">
        <v>24</v>
      </c>
      <c r="F880" t="s">
        <v>45</v>
      </c>
      <c r="G880" s="4">
        <v>5</v>
      </c>
      <c r="H880" t="s">
        <v>18</v>
      </c>
      <c r="I880" s="4">
        <v>2524</v>
      </c>
      <c r="J880" t="s">
        <v>49</v>
      </c>
      <c r="K880" t="s">
        <v>48</v>
      </c>
      <c r="L880" t="s">
        <v>28</v>
      </c>
      <c r="M880" t="s">
        <v>31</v>
      </c>
      <c r="N880">
        <v>4</v>
      </c>
    </row>
    <row r="881" spans="1:14" x14ac:dyDescent="0.25">
      <c r="A881">
        <v>880</v>
      </c>
      <c r="B881">
        <v>24</v>
      </c>
      <c r="C881" t="s">
        <v>29</v>
      </c>
      <c r="D881" t="s">
        <v>15</v>
      </c>
      <c r="E881" t="s">
        <v>16</v>
      </c>
      <c r="F881" t="s">
        <v>42</v>
      </c>
      <c r="G881" s="4">
        <v>12</v>
      </c>
      <c r="H881" t="s">
        <v>18</v>
      </c>
      <c r="I881" s="4">
        <v>1862</v>
      </c>
      <c r="J881" t="s">
        <v>50</v>
      </c>
      <c r="K881" t="s">
        <v>20</v>
      </c>
      <c r="L881" t="s">
        <v>28</v>
      </c>
      <c r="M881" t="s">
        <v>31</v>
      </c>
      <c r="N881">
        <v>5</v>
      </c>
    </row>
    <row r="882" spans="1:14" x14ac:dyDescent="0.25">
      <c r="A882">
        <v>881</v>
      </c>
      <c r="B882">
        <v>18</v>
      </c>
      <c r="C882" t="s">
        <v>29</v>
      </c>
      <c r="D882" t="s">
        <v>32</v>
      </c>
      <c r="E882" t="s">
        <v>24</v>
      </c>
      <c r="F882" t="s">
        <v>30</v>
      </c>
      <c r="G882" s="4">
        <v>16</v>
      </c>
      <c r="H882" t="s">
        <v>46</v>
      </c>
      <c r="I882" s="4">
        <v>917</v>
      </c>
      <c r="J882" t="s">
        <v>45</v>
      </c>
      <c r="K882" t="s">
        <v>38</v>
      </c>
      <c r="L882" t="s">
        <v>21</v>
      </c>
      <c r="M882" t="s">
        <v>31</v>
      </c>
      <c r="N882">
        <v>5</v>
      </c>
    </row>
    <row r="883" spans="1:14" x14ac:dyDescent="0.25">
      <c r="A883">
        <v>882</v>
      </c>
      <c r="B883">
        <v>19</v>
      </c>
      <c r="C883" t="s">
        <v>29</v>
      </c>
      <c r="D883" t="s">
        <v>36</v>
      </c>
      <c r="E883" t="s">
        <v>24</v>
      </c>
      <c r="F883" t="s">
        <v>45</v>
      </c>
      <c r="G883" s="4">
        <v>5</v>
      </c>
      <c r="H883" t="s">
        <v>34</v>
      </c>
      <c r="I883" s="4">
        <v>107</v>
      </c>
      <c r="J883" t="s">
        <v>50</v>
      </c>
      <c r="K883" t="s">
        <v>38</v>
      </c>
      <c r="L883" t="s">
        <v>28</v>
      </c>
      <c r="M883" t="s">
        <v>22</v>
      </c>
      <c r="N883">
        <v>2</v>
      </c>
    </row>
    <row r="884" spans="1:14" x14ac:dyDescent="0.25">
      <c r="A884">
        <v>883</v>
      </c>
      <c r="B884">
        <v>35</v>
      </c>
      <c r="C884" t="s">
        <v>23</v>
      </c>
      <c r="D884" t="s">
        <v>32</v>
      </c>
      <c r="E884" t="s">
        <v>16</v>
      </c>
      <c r="F884" t="s">
        <v>45</v>
      </c>
      <c r="G884" s="4">
        <v>17</v>
      </c>
      <c r="H884" t="s">
        <v>26</v>
      </c>
      <c r="I884" s="4">
        <v>789</v>
      </c>
      <c r="J884" t="s">
        <v>44</v>
      </c>
      <c r="K884" t="s">
        <v>20</v>
      </c>
      <c r="L884" t="s">
        <v>21</v>
      </c>
      <c r="M884" t="s">
        <v>31</v>
      </c>
      <c r="N884">
        <v>5</v>
      </c>
    </row>
    <row r="885" spans="1:14" x14ac:dyDescent="0.25">
      <c r="A885">
        <v>884</v>
      </c>
      <c r="B885">
        <v>28</v>
      </c>
      <c r="C885" t="s">
        <v>14</v>
      </c>
      <c r="D885" t="s">
        <v>15</v>
      </c>
      <c r="E885" t="s">
        <v>24</v>
      </c>
      <c r="F885" t="s">
        <v>25</v>
      </c>
      <c r="G885" s="4">
        <v>21</v>
      </c>
      <c r="H885" t="s">
        <v>18</v>
      </c>
      <c r="I885" s="4">
        <v>648</v>
      </c>
      <c r="J885" t="s">
        <v>45</v>
      </c>
      <c r="K885" t="s">
        <v>34</v>
      </c>
      <c r="L885" t="s">
        <v>21</v>
      </c>
      <c r="M885" t="s">
        <v>31</v>
      </c>
      <c r="N885">
        <v>4</v>
      </c>
    </row>
    <row r="886" spans="1:14" x14ac:dyDescent="0.25">
      <c r="A886">
        <v>885</v>
      </c>
      <c r="B886">
        <v>24</v>
      </c>
      <c r="C886" t="s">
        <v>29</v>
      </c>
      <c r="D886" t="s">
        <v>15</v>
      </c>
      <c r="E886" t="s">
        <v>24</v>
      </c>
      <c r="F886" t="s">
        <v>45</v>
      </c>
      <c r="G886" s="4">
        <v>7</v>
      </c>
      <c r="H886" t="s">
        <v>37</v>
      </c>
      <c r="I886" s="4">
        <v>382</v>
      </c>
      <c r="J886" t="s">
        <v>41</v>
      </c>
      <c r="K886" t="s">
        <v>48</v>
      </c>
      <c r="L886" t="s">
        <v>28</v>
      </c>
      <c r="M886" t="s">
        <v>22</v>
      </c>
      <c r="N886">
        <v>1</v>
      </c>
    </row>
    <row r="887" spans="1:14" x14ac:dyDescent="0.25">
      <c r="A887">
        <v>886</v>
      </c>
      <c r="B887">
        <v>22</v>
      </c>
      <c r="C887" t="s">
        <v>14</v>
      </c>
      <c r="D887" t="s">
        <v>15</v>
      </c>
      <c r="E887" t="s">
        <v>24</v>
      </c>
      <c r="F887" t="s">
        <v>25</v>
      </c>
      <c r="G887" s="4">
        <v>19</v>
      </c>
      <c r="H887" t="s">
        <v>46</v>
      </c>
      <c r="I887" s="4">
        <v>2598</v>
      </c>
      <c r="J887" t="s">
        <v>27</v>
      </c>
      <c r="K887" t="s">
        <v>38</v>
      </c>
      <c r="L887" t="s">
        <v>28</v>
      </c>
      <c r="M887" t="s">
        <v>31</v>
      </c>
      <c r="N887">
        <v>3</v>
      </c>
    </row>
    <row r="888" spans="1:14" x14ac:dyDescent="0.25">
      <c r="A888">
        <v>887</v>
      </c>
      <c r="B888">
        <v>39</v>
      </c>
      <c r="C888" t="s">
        <v>14</v>
      </c>
      <c r="D888" t="s">
        <v>36</v>
      </c>
      <c r="E888" t="s">
        <v>16</v>
      </c>
      <c r="F888" t="s">
        <v>17</v>
      </c>
      <c r="G888" s="4">
        <v>6</v>
      </c>
      <c r="H888" t="s">
        <v>18</v>
      </c>
      <c r="I888" s="4">
        <v>1126</v>
      </c>
      <c r="J888" t="s">
        <v>19</v>
      </c>
      <c r="K888" t="s">
        <v>20</v>
      </c>
      <c r="L888" t="s">
        <v>21</v>
      </c>
      <c r="M888" t="s">
        <v>22</v>
      </c>
      <c r="N888">
        <v>1</v>
      </c>
    </row>
    <row r="889" spans="1:14" x14ac:dyDescent="0.25">
      <c r="A889">
        <v>888</v>
      </c>
      <c r="B889">
        <v>22</v>
      </c>
      <c r="C889" t="s">
        <v>14</v>
      </c>
      <c r="D889" t="s">
        <v>15</v>
      </c>
      <c r="E889" t="s">
        <v>39</v>
      </c>
      <c r="F889" t="s">
        <v>30</v>
      </c>
      <c r="G889" s="4">
        <v>14</v>
      </c>
      <c r="H889" t="s">
        <v>40</v>
      </c>
      <c r="I889" s="4">
        <v>1073</v>
      </c>
      <c r="J889" t="s">
        <v>45</v>
      </c>
      <c r="K889" t="s">
        <v>48</v>
      </c>
      <c r="L889" t="s">
        <v>28</v>
      </c>
      <c r="M889" t="s">
        <v>22</v>
      </c>
      <c r="N889">
        <v>2</v>
      </c>
    </row>
    <row r="890" spans="1:14" x14ac:dyDescent="0.25">
      <c r="A890">
        <v>889</v>
      </c>
      <c r="B890">
        <v>31</v>
      </c>
      <c r="C890" t="s">
        <v>14</v>
      </c>
      <c r="D890" t="s">
        <v>36</v>
      </c>
      <c r="E890" t="s">
        <v>39</v>
      </c>
      <c r="F890" t="s">
        <v>42</v>
      </c>
      <c r="G890" s="4">
        <v>7</v>
      </c>
      <c r="H890" t="s">
        <v>34</v>
      </c>
      <c r="I890" s="4">
        <v>1992</v>
      </c>
      <c r="J890" t="s">
        <v>49</v>
      </c>
      <c r="K890" t="s">
        <v>38</v>
      </c>
      <c r="L890" t="s">
        <v>21</v>
      </c>
      <c r="M890" t="s">
        <v>31</v>
      </c>
      <c r="N890">
        <v>1</v>
      </c>
    </row>
    <row r="891" spans="1:14" x14ac:dyDescent="0.25">
      <c r="A891">
        <v>890</v>
      </c>
      <c r="B891">
        <v>18</v>
      </c>
      <c r="C891" t="s">
        <v>23</v>
      </c>
      <c r="D891" t="s">
        <v>36</v>
      </c>
      <c r="E891" t="s">
        <v>16</v>
      </c>
      <c r="F891" t="s">
        <v>33</v>
      </c>
      <c r="G891" s="4">
        <v>10</v>
      </c>
      <c r="H891" t="s">
        <v>34</v>
      </c>
      <c r="I891" s="4">
        <v>2701</v>
      </c>
      <c r="J891" t="s">
        <v>50</v>
      </c>
      <c r="K891" t="s">
        <v>20</v>
      </c>
      <c r="L891" t="s">
        <v>21</v>
      </c>
      <c r="M891" t="s">
        <v>22</v>
      </c>
      <c r="N891">
        <v>5</v>
      </c>
    </row>
    <row r="892" spans="1:14" x14ac:dyDescent="0.25">
      <c r="A892">
        <v>891</v>
      </c>
      <c r="B892">
        <v>34</v>
      </c>
      <c r="C892" t="s">
        <v>14</v>
      </c>
      <c r="D892" t="s">
        <v>36</v>
      </c>
      <c r="E892" t="s">
        <v>16</v>
      </c>
      <c r="F892" t="s">
        <v>45</v>
      </c>
      <c r="G892" s="4">
        <v>28</v>
      </c>
      <c r="H892" t="s">
        <v>47</v>
      </c>
      <c r="I892" s="4">
        <v>1042</v>
      </c>
      <c r="J892" t="s">
        <v>44</v>
      </c>
      <c r="K892" t="s">
        <v>38</v>
      </c>
      <c r="L892" t="s">
        <v>28</v>
      </c>
      <c r="M892" t="s">
        <v>22</v>
      </c>
      <c r="N892">
        <v>1</v>
      </c>
    </row>
    <row r="893" spans="1:14" x14ac:dyDescent="0.25">
      <c r="A893">
        <v>892</v>
      </c>
      <c r="B893">
        <v>24</v>
      </c>
      <c r="C893" t="s">
        <v>14</v>
      </c>
      <c r="D893" t="s">
        <v>15</v>
      </c>
      <c r="E893" t="s">
        <v>24</v>
      </c>
      <c r="F893" t="s">
        <v>17</v>
      </c>
      <c r="G893" s="4">
        <v>5</v>
      </c>
      <c r="H893" t="s">
        <v>37</v>
      </c>
      <c r="I893" s="4">
        <v>1341</v>
      </c>
      <c r="J893" t="s">
        <v>35</v>
      </c>
      <c r="K893" t="s">
        <v>34</v>
      </c>
      <c r="L893" t="s">
        <v>28</v>
      </c>
      <c r="M893" t="s">
        <v>22</v>
      </c>
      <c r="N893">
        <v>2</v>
      </c>
    </row>
    <row r="894" spans="1:14" x14ac:dyDescent="0.25">
      <c r="A894">
        <v>893</v>
      </c>
      <c r="B894">
        <v>20</v>
      </c>
      <c r="C894" t="s">
        <v>23</v>
      </c>
      <c r="D894" t="s">
        <v>32</v>
      </c>
      <c r="E894" t="s">
        <v>39</v>
      </c>
      <c r="F894" t="s">
        <v>17</v>
      </c>
      <c r="G894" s="4">
        <v>16</v>
      </c>
      <c r="H894" t="s">
        <v>43</v>
      </c>
      <c r="I894" s="4">
        <v>2900</v>
      </c>
      <c r="J894" t="s">
        <v>45</v>
      </c>
      <c r="K894" t="s">
        <v>20</v>
      </c>
      <c r="L894" t="s">
        <v>21</v>
      </c>
      <c r="M894" t="s">
        <v>31</v>
      </c>
      <c r="N894">
        <v>5</v>
      </c>
    </row>
    <row r="895" spans="1:14" x14ac:dyDescent="0.25">
      <c r="A895">
        <v>894</v>
      </c>
      <c r="B895">
        <v>23</v>
      </c>
      <c r="C895" t="s">
        <v>29</v>
      </c>
      <c r="D895" t="s">
        <v>15</v>
      </c>
      <c r="E895" t="s">
        <v>24</v>
      </c>
      <c r="F895" t="s">
        <v>45</v>
      </c>
      <c r="G895" s="4">
        <v>11</v>
      </c>
      <c r="H895" t="s">
        <v>46</v>
      </c>
      <c r="I895" s="4">
        <v>2814</v>
      </c>
      <c r="J895" t="s">
        <v>44</v>
      </c>
      <c r="K895" t="s">
        <v>38</v>
      </c>
      <c r="L895" t="s">
        <v>28</v>
      </c>
      <c r="M895" t="s">
        <v>31</v>
      </c>
      <c r="N895">
        <v>3</v>
      </c>
    </row>
    <row r="896" spans="1:14" x14ac:dyDescent="0.25">
      <c r="A896">
        <v>895</v>
      </c>
      <c r="B896">
        <v>32</v>
      </c>
      <c r="C896" t="s">
        <v>29</v>
      </c>
      <c r="D896" t="s">
        <v>36</v>
      </c>
      <c r="E896" t="s">
        <v>16</v>
      </c>
      <c r="F896" t="s">
        <v>45</v>
      </c>
      <c r="G896" s="4">
        <v>18</v>
      </c>
      <c r="H896" t="s">
        <v>26</v>
      </c>
      <c r="I896" s="4">
        <v>2442</v>
      </c>
      <c r="J896" t="s">
        <v>45</v>
      </c>
      <c r="K896" t="s">
        <v>38</v>
      </c>
      <c r="L896" t="s">
        <v>28</v>
      </c>
      <c r="M896" t="s">
        <v>31</v>
      </c>
      <c r="N896">
        <v>3</v>
      </c>
    </row>
    <row r="897" spans="1:14" x14ac:dyDescent="0.25">
      <c r="A897">
        <v>896</v>
      </c>
      <c r="B897">
        <v>38</v>
      </c>
      <c r="C897" t="s">
        <v>14</v>
      </c>
      <c r="D897" t="s">
        <v>36</v>
      </c>
      <c r="E897" t="s">
        <v>39</v>
      </c>
      <c r="F897" t="s">
        <v>45</v>
      </c>
      <c r="G897" s="4">
        <v>7</v>
      </c>
      <c r="H897" t="s">
        <v>26</v>
      </c>
      <c r="I897" s="4">
        <v>1840</v>
      </c>
      <c r="J897" t="s">
        <v>35</v>
      </c>
      <c r="K897" t="s">
        <v>34</v>
      </c>
      <c r="L897" t="s">
        <v>28</v>
      </c>
      <c r="M897" t="s">
        <v>22</v>
      </c>
      <c r="N897">
        <v>2</v>
      </c>
    </row>
    <row r="898" spans="1:14" x14ac:dyDescent="0.25">
      <c r="A898">
        <v>897</v>
      </c>
      <c r="B898">
        <v>21</v>
      </c>
      <c r="C898" t="s">
        <v>14</v>
      </c>
      <c r="D898" t="s">
        <v>32</v>
      </c>
      <c r="E898" t="s">
        <v>16</v>
      </c>
      <c r="F898" t="s">
        <v>33</v>
      </c>
      <c r="G898" s="4">
        <v>10</v>
      </c>
      <c r="H898" t="s">
        <v>40</v>
      </c>
      <c r="I898" s="4">
        <v>1321</v>
      </c>
      <c r="J898" t="s">
        <v>50</v>
      </c>
      <c r="K898" t="s">
        <v>34</v>
      </c>
      <c r="L898" t="s">
        <v>21</v>
      </c>
      <c r="M898" t="s">
        <v>31</v>
      </c>
      <c r="N898">
        <v>4</v>
      </c>
    </row>
    <row r="899" spans="1:14" x14ac:dyDescent="0.25">
      <c r="A899">
        <v>898</v>
      </c>
      <c r="B899">
        <v>21</v>
      </c>
      <c r="C899" t="s">
        <v>23</v>
      </c>
      <c r="D899" t="s">
        <v>32</v>
      </c>
      <c r="E899" t="s">
        <v>16</v>
      </c>
      <c r="F899" t="s">
        <v>42</v>
      </c>
      <c r="G899" s="4">
        <v>5</v>
      </c>
      <c r="H899" t="s">
        <v>34</v>
      </c>
      <c r="I899" s="4">
        <v>1304</v>
      </c>
      <c r="J899" t="s">
        <v>27</v>
      </c>
      <c r="K899" t="s">
        <v>48</v>
      </c>
      <c r="L899" t="s">
        <v>28</v>
      </c>
      <c r="M899" t="s">
        <v>31</v>
      </c>
      <c r="N899">
        <v>1</v>
      </c>
    </row>
    <row r="900" spans="1:14" x14ac:dyDescent="0.25">
      <c r="A900">
        <v>899</v>
      </c>
      <c r="B900">
        <v>37</v>
      </c>
      <c r="C900" t="s">
        <v>14</v>
      </c>
      <c r="D900" t="s">
        <v>36</v>
      </c>
      <c r="E900" t="s">
        <v>39</v>
      </c>
      <c r="F900" t="s">
        <v>17</v>
      </c>
      <c r="G900" s="4">
        <v>11</v>
      </c>
      <c r="H900" t="s">
        <v>18</v>
      </c>
      <c r="I900" s="4">
        <v>2159</v>
      </c>
      <c r="J900" t="s">
        <v>45</v>
      </c>
      <c r="K900" t="s">
        <v>20</v>
      </c>
      <c r="L900" t="s">
        <v>28</v>
      </c>
      <c r="M900" t="s">
        <v>31</v>
      </c>
      <c r="N900">
        <v>2</v>
      </c>
    </row>
    <row r="901" spans="1:14" x14ac:dyDescent="0.25">
      <c r="A901">
        <v>900</v>
      </c>
      <c r="B901">
        <v>24</v>
      </c>
      <c r="C901" t="s">
        <v>29</v>
      </c>
      <c r="D901" t="s">
        <v>15</v>
      </c>
      <c r="E901" t="s">
        <v>39</v>
      </c>
      <c r="F901" t="s">
        <v>42</v>
      </c>
      <c r="G901" s="4">
        <v>11</v>
      </c>
      <c r="H901" t="s">
        <v>18</v>
      </c>
      <c r="I901" s="4">
        <v>203</v>
      </c>
      <c r="J901" t="s">
        <v>19</v>
      </c>
      <c r="K901" t="s">
        <v>20</v>
      </c>
      <c r="L901" t="s">
        <v>21</v>
      </c>
      <c r="M901" t="s">
        <v>31</v>
      </c>
      <c r="N901">
        <v>4</v>
      </c>
    </row>
    <row r="902" spans="1:14" x14ac:dyDescent="0.25">
      <c r="A902">
        <v>901</v>
      </c>
      <c r="B902">
        <v>36</v>
      </c>
      <c r="C902" t="s">
        <v>14</v>
      </c>
      <c r="D902" t="s">
        <v>32</v>
      </c>
      <c r="E902" t="s">
        <v>16</v>
      </c>
      <c r="F902" t="s">
        <v>17</v>
      </c>
      <c r="G902" s="4">
        <v>17</v>
      </c>
      <c r="H902" t="s">
        <v>47</v>
      </c>
      <c r="I902" s="4">
        <v>968</v>
      </c>
      <c r="J902" t="s">
        <v>49</v>
      </c>
      <c r="K902" t="s">
        <v>34</v>
      </c>
      <c r="L902" t="s">
        <v>21</v>
      </c>
      <c r="M902" t="s">
        <v>31</v>
      </c>
      <c r="N902">
        <v>5</v>
      </c>
    </row>
    <row r="903" spans="1:14" x14ac:dyDescent="0.25">
      <c r="A903">
        <v>902</v>
      </c>
      <c r="B903">
        <v>19</v>
      </c>
      <c r="C903" t="s">
        <v>29</v>
      </c>
      <c r="D903" t="s">
        <v>36</v>
      </c>
      <c r="E903" t="s">
        <v>16</v>
      </c>
      <c r="F903" t="s">
        <v>33</v>
      </c>
      <c r="G903" s="4">
        <v>22</v>
      </c>
      <c r="H903" t="s">
        <v>43</v>
      </c>
      <c r="I903" s="4">
        <v>2160</v>
      </c>
      <c r="J903" t="s">
        <v>19</v>
      </c>
      <c r="K903" t="s">
        <v>20</v>
      </c>
      <c r="L903" t="s">
        <v>28</v>
      </c>
      <c r="M903" t="s">
        <v>31</v>
      </c>
      <c r="N903">
        <v>1</v>
      </c>
    </row>
    <row r="904" spans="1:14" x14ac:dyDescent="0.25">
      <c r="A904">
        <v>903</v>
      </c>
      <c r="B904">
        <v>28</v>
      </c>
      <c r="C904" t="s">
        <v>14</v>
      </c>
      <c r="D904" t="s">
        <v>36</v>
      </c>
      <c r="E904" t="s">
        <v>39</v>
      </c>
      <c r="F904" t="s">
        <v>42</v>
      </c>
      <c r="G904" s="4">
        <v>29</v>
      </c>
      <c r="H904" t="s">
        <v>47</v>
      </c>
      <c r="I904" s="4">
        <v>1416</v>
      </c>
      <c r="J904" t="s">
        <v>45</v>
      </c>
      <c r="K904" t="s">
        <v>34</v>
      </c>
      <c r="L904" t="s">
        <v>28</v>
      </c>
      <c r="M904" t="s">
        <v>31</v>
      </c>
      <c r="N904">
        <v>4</v>
      </c>
    </row>
    <row r="905" spans="1:14" x14ac:dyDescent="0.25">
      <c r="A905">
        <v>904</v>
      </c>
      <c r="B905">
        <v>38</v>
      </c>
      <c r="C905" t="s">
        <v>14</v>
      </c>
      <c r="D905" t="s">
        <v>15</v>
      </c>
      <c r="E905" t="s">
        <v>16</v>
      </c>
      <c r="F905" t="s">
        <v>33</v>
      </c>
      <c r="G905" s="4">
        <v>8</v>
      </c>
      <c r="H905" t="s">
        <v>47</v>
      </c>
      <c r="I905" s="4">
        <v>1531</v>
      </c>
      <c r="J905" t="s">
        <v>44</v>
      </c>
      <c r="K905" t="s">
        <v>48</v>
      </c>
      <c r="L905" t="s">
        <v>28</v>
      </c>
      <c r="M905" t="s">
        <v>31</v>
      </c>
      <c r="N905">
        <v>5</v>
      </c>
    </row>
    <row r="906" spans="1:14" x14ac:dyDescent="0.25">
      <c r="A906">
        <v>905</v>
      </c>
      <c r="B906">
        <v>25</v>
      </c>
      <c r="C906" t="s">
        <v>23</v>
      </c>
      <c r="D906" t="s">
        <v>32</v>
      </c>
      <c r="E906" t="s">
        <v>24</v>
      </c>
      <c r="F906" t="s">
        <v>33</v>
      </c>
      <c r="G906" s="4">
        <v>10</v>
      </c>
      <c r="H906" t="s">
        <v>47</v>
      </c>
      <c r="I906" s="4">
        <v>360</v>
      </c>
      <c r="J906" t="s">
        <v>35</v>
      </c>
      <c r="K906" t="s">
        <v>48</v>
      </c>
      <c r="L906" t="s">
        <v>21</v>
      </c>
      <c r="M906" t="s">
        <v>22</v>
      </c>
      <c r="N906">
        <v>2</v>
      </c>
    </row>
    <row r="907" spans="1:14" x14ac:dyDescent="0.25">
      <c r="A907">
        <v>906</v>
      </c>
      <c r="B907">
        <v>27</v>
      </c>
      <c r="C907" t="s">
        <v>23</v>
      </c>
      <c r="D907" t="s">
        <v>36</v>
      </c>
      <c r="E907" t="s">
        <v>39</v>
      </c>
      <c r="F907" t="s">
        <v>30</v>
      </c>
      <c r="G907" s="4">
        <v>7</v>
      </c>
      <c r="H907" t="s">
        <v>37</v>
      </c>
      <c r="I907" s="4">
        <v>1080</v>
      </c>
      <c r="J907" t="s">
        <v>44</v>
      </c>
      <c r="K907" t="s">
        <v>20</v>
      </c>
      <c r="L907" t="s">
        <v>21</v>
      </c>
      <c r="M907" t="s">
        <v>22</v>
      </c>
      <c r="N907">
        <v>3</v>
      </c>
    </row>
    <row r="908" spans="1:14" x14ac:dyDescent="0.25">
      <c r="A908">
        <v>907</v>
      </c>
      <c r="B908">
        <v>28</v>
      </c>
      <c r="C908" t="s">
        <v>23</v>
      </c>
      <c r="D908" t="s">
        <v>32</v>
      </c>
      <c r="E908" t="s">
        <v>24</v>
      </c>
      <c r="F908" t="s">
        <v>33</v>
      </c>
      <c r="G908" s="4">
        <v>9</v>
      </c>
      <c r="H908" t="s">
        <v>40</v>
      </c>
      <c r="I908" s="4">
        <v>2392</v>
      </c>
      <c r="J908" t="s">
        <v>49</v>
      </c>
      <c r="K908" t="s">
        <v>20</v>
      </c>
      <c r="L908" t="s">
        <v>28</v>
      </c>
      <c r="M908" t="s">
        <v>31</v>
      </c>
      <c r="N908">
        <v>4</v>
      </c>
    </row>
    <row r="909" spans="1:14" x14ac:dyDescent="0.25">
      <c r="A909">
        <v>908</v>
      </c>
      <c r="B909">
        <v>33</v>
      </c>
      <c r="C909" t="s">
        <v>29</v>
      </c>
      <c r="D909" t="s">
        <v>36</v>
      </c>
      <c r="E909" t="s">
        <v>16</v>
      </c>
      <c r="F909" t="s">
        <v>30</v>
      </c>
      <c r="G909" s="4">
        <v>12</v>
      </c>
      <c r="H909" t="s">
        <v>40</v>
      </c>
      <c r="I909" s="4">
        <v>376</v>
      </c>
      <c r="J909" t="s">
        <v>27</v>
      </c>
      <c r="K909" t="s">
        <v>48</v>
      </c>
      <c r="L909" t="s">
        <v>21</v>
      </c>
      <c r="M909" t="s">
        <v>31</v>
      </c>
      <c r="N909">
        <v>3</v>
      </c>
    </row>
    <row r="910" spans="1:14" x14ac:dyDescent="0.25">
      <c r="A910">
        <v>909</v>
      </c>
      <c r="B910">
        <v>19</v>
      </c>
      <c r="C910" t="s">
        <v>29</v>
      </c>
      <c r="D910" t="s">
        <v>32</v>
      </c>
      <c r="E910" t="s">
        <v>16</v>
      </c>
      <c r="F910" t="s">
        <v>42</v>
      </c>
      <c r="G910" s="4">
        <v>11</v>
      </c>
      <c r="H910" t="s">
        <v>18</v>
      </c>
      <c r="I910" s="4">
        <v>53</v>
      </c>
      <c r="J910" t="s">
        <v>50</v>
      </c>
      <c r="K910" t="s">
        <v>38</v>
      </c>
      <c r="L910" t="s">
        <v>28</v>
      </c>
      <c r="M910" t="s">
        <v>31</v>
      </c>
      <c r="N910">
        <v>2</v>
      </c>
    </row>
    <row r="911" spans="1:14" x14ac:dyDescent="0.25">
      <c r="A911">
        <v>910</v>
      </c>
      <c r="B911">
        <v>40</v>
      </c>
      <c r="C911" t="s">
        <v>23</v>
      </c>
      <c r="D911" t="s">
        <v>15</v>
      </c>
      <c r="E911" t="s">
        <v>16</v>
      </c>
      <c r="F911" t="s">
        <v>25</v>
      </c>
      <c r="G911" s="4">
        <v>19</v>
      </c>
      <c r="H911" t="s">
        <v>34</v>
      </c>
      <c r="I911" s="4">
        <v>2684</v>
      </c>
      <c r="J911" t="s">
        <v>45</v>
      </c>
      <c r="K911" t="s">
        <v>20</v>
      </c>
      <c r="L911" t="s">
        <v>21</v>
      </c>
      <c r="M911" t="s">
        <v>31</v>
      </c>
      <c r="N911">
        <v>2</v>
      </c>
    </row>
    <row r="912" spans="1:14" x14ac:dyDescent="0.25">
      <c r="A912">
        <v>911</v>
      </c>
      <c r="B912">
        <v>24</v>
      </c>
      <c r="C912" t="s">
        <v>14</v>
      </c>
      <c r="D912" t="s">
        <v>36</v>
      </c>
      <c r="E912" t="s">
        <v>39</v>
      </c>
      <c r="F912" t="s">
        <v>45</v>
      </c>
      <c r="G912" s="4">
        <v>7</v>
      </c>
      <c r="H912" t="s">
        <v>18</v>
      </c>
      <c r="I912" s="4">
        <v>1138</v>
      </c>
      <c r="J912" t="s">
        <v>44</v>
      </c>
      <c r="K912" t="s">
        <v>20</v>
      </c>
      <c r="L912" t="s">
        <v>21</v>
      </c>
      <c r="M912" t="s">
        <v>22</v>
      </c>
      <c r="N912">
        <v>4</v>
      </c>
    </row>
    <row r="913" spans="1:14" x14ac:dyDescent="0.25">
      <c r="A913">
        <v>912</v>
      </c>
      <c r="B913">
        <v>25</v>
      </c>
      <c r="C913" t="s">
        <v>29</v>
      </c>
      <c r="D913" t="s">
        <v>15</v>
      </c>
      <c r="E913" t="s">
        <v>39</v>
      </c>
      <c r="F913" t="s">
        <v>17</v>
      </c>
      <c r="G913" s="4">
        <v>5</v>
      </c>
      <c r="H913" t="s">
        <v>43</v>
      </c>
      <c r="I913" s="4">
        <v>1887</v>
      </c>
      <c r="J913" t="s">
        <v>50</v>
      </c>
      <c r="K913" t="s">
        <v>34</v>
      </c>
      <c r="L913" t="s">
        <v>21</v>
      </c>
      <c r="M913" t="s">
        <v>22</v>
      </c>
      <c r="N913">
        <v>2</v>
      </c>
    </row>
    <row r="914" spans="1:14" x14ac:dyDescent="0.25">
      <c r="A914">
        <v>913</v>
      </c>
      <c r="B914">
        <v>29</v>
      </c>
      <c r="C914" t="s">
        <v>29</v>
      </c>
      <c r="D914" t="s">
        <v>36</v>
      </c>
      <c r="E914" t="s">
        <v>39</v>
      </c>
      <c r="F914" t="s">
        <v>45</v>
      </c>
      <c r="G914" s="4">
        <v>18</v>
      </c>
      <c r="H914" t="s">
        <v>34</v>
      </c>
      <c r="I914" s="4">
        <v>868</v>
      </c>
      <c r="J914" t="s">
        <v>41</v>
      </c>
      <c r="K914" t="s">
        <v>20</v>
      </c>
      <c r="L914" t="s">
        <v>28</v>
      </c>
      <c r="M914" t="s">
        <v>31</v>
      </c>
      <c r="N914">
        <v>2</v>
      </c>
    </row>
    <row r="915" spans="1:14" x14ac:dyDescent="0.25">
      <c r="A915">
        <v>914</v>
      </c>
      <c r="B915">
        <v>21</v>
      </c>
      <c r="C915" t="s">
        <v>23</v>
      </c>
      <c r="D915" t="s">
        <v>32</v>
      </c>
      <c r="E915" t="s">
        <v>16</v>
      </c>
      <c r="F915" t="s">
        <v>30</v>
      </c>
      <c r="G915" s="4">
        <v>6</v>
      </c>
      <c r="H915" t="s">
        <v>40</v>
      </c>
      <c r="I915" s="4">
        <v>2656</v>
      </c>
      <c r="J915" t="s">
        <v>45</v>
      </c>
      <c r="K915" t="s">
        <v>38</v>
      </c>
      <c r="L915" t="s">
        <v>28</v>
      </c>
      <c r="M915" t="s">
        <v>31</v>
      </c>
      <c r="N915">
        <v>4</v>
      </c>
    </row>
    <row r="916" spans="1:14" x14ac:dyDescent="0.25">
      <c r="A916">
        <v>915</v>
      </c>
      <c r="B916">
        <v>34</v>
      </c>
      <c r="C916" t="s">
        <v>23</v>
      </c>
      <c r="D916" t="s">
        <v>15</v>
      </c>
      <c r="E916" t="s">
        <v>16</v>
      </c>
      <c r="F916" t="s">
        <v>25</v>
      </c>
      <c r="G916" s="4">
        <v>18</v>
      </c>
      <c r="H916" t="s">
        <v>18</v>
      </c>
      <c r="I916" s="4">
        <v>447</v>
      </c>
      <c r="J916" t="s">
        <v>41</v>
      </c>
      <c r="K916" t="s">
        <v>48</v>
      </c>
      <c r="L916" t="s">
        <v>28</v>
      </c>
      <c r="M916" t="s">
        <v>22</v>
      </c>
      <c r="N916">
        <v>1</v>
      </c>
    </row>
    <row r="917" spans="1:14" x14ac:dyDescent="0.25">
      <c r="A917">
        <v>916</v>
      </c>
      <c r="B917">
        <v>20</v>
      </c>
      <c r="C917" t="s">
        <v>14</v>
      </c>
      <c r="D917" t="s">
        <v>36</v>
      </c>
      <c r="E917" t="s">
        <v>24</v>
      </c>
      <c r="F917" t="s">
        <v>17</v>
      </c>
      <c r="G917" s="4">
        <v>22</v>
      </c>
      <c r="H917" t="s">
        <v>26</v>
      </c>
      <c r="I917" s="4">
        <v>413</v>
      </c>
      <c r="J917" t="s">
        <v>45</v>
      </c>
      <c r="K917" t="s">
        <v>20</v>
      </c>
      <c r="L917" t="s">
        <v>21</v>
      </c>
      <c r="M917" t="s">
        <v>22</v>
      </c>
      <c r="N917">
        <v>3</v>
      </c>
    </row>
    <row r="918" spans="1:14" x14ac:dyDescent="0.25">
      <c r="A918">
        <v>917</v>
      </c>
      <c r="B918">
        <v>40</v>
      </c>
      <c r="C918" t="s">
        <v>14</v>
      </c>
      <c r="D918" t="s">
        <v>15</v>
      </c>
      <c r="E918" t="s">
        <v>39</v>
      </c>
      <c r="F918" t="s">
        <v>17</v>
      </c>
      <c r="G918" s="4">
        <v>13</v>
      </c>
      <c r="H918" t="s">
        <v>46</v>
      </c>
      <c r="I918" s="4">
        <v>2028</v>
      </c>
      <c r="J918" t="s">
        <v>35</v>
      </c>
      <c r="K918" t="s">
        <v>48</v>
      </c>
      <c r="L918" t="s">
        <v>21</v>
      </c>
      <c r="M918" t="s">
        <v>22</v>
      </c>
      <c r="N918">
        <v>2</v>
      </c>
    </row>
    <row r="919" spans="1:14" x14ac:dyDescent="0.25">
      <c r="A919">
        <v>918</v>
      </c>
      <c r="B919">
        <v>34</v>
      </c>
      <c r="C919" t="s">
        <v>23</v>
      </c>
      <c r="D919" t="s">
        <v>32</v>
      </c>
      <c r="E919" t="s">
        <v>24</v>
      </c>
      <c r="F919" t="s">
        <v>25</v>
      </c>
      <c r="G919" s="4">
        <v>27</v>
      </c>
      <c r="H919" t="s">
        <v>37</v>
      </c>
      <c r="I919" s="4">
        <v>2548</v>
      </c>
      <c r="J919" t="s">
        <v>50</v>
      </c>
      <c r="K919" t="s">
        <v>48</v>
      </c>
      <c r="L919" t="s">
        <v>21</v>
      </c>
      <c r="M919" t="s">
        <v>22</v>
      </c>
      <c r="N919">
        <v>4</v>
      </c>
    </row>
    <row r="920" spans="1:14" x14ac:dyDescent="0.25">
      <c r="A920">
        <v>919</v>
      </c>
      <c r="B920">
        <v>28</v>
      </c>
      <c r="C920" t="s">
        <v>23</v>
      </c>
      <c r="D920" t="s">
        <v>32</v>
      </c>
      <c r="E920" t="s">
        <v>39</v>
      </c>
      <c r="F920" t="s">
        <v>30</v>
      </c>
      <c r="G920" s="4">
        <v>19</v>
      </c>
      <c r="H920" t="s">
        <v>47</v>
      </c>
      <c r="I920" s="4">
        <v>580</v>
      </c>
      <c r="J920" t="s">
        <v>44</v>
      </c>
      <c r="K920" t="s">
        <v>34</v>
      </c>
      <c r="L920" t="s">
        <v>21</v>
      </c>
      <c r="M920" t="s">
        <v>22</v>
      </c>
      <c r="N920">
        <v>1</v>
      </c>
    </row>
    <row r="921" spans="1:14" x14ac:dyDescent="0.25">
      <c r="A921">
        <v>920</v>
      </c>
      <c r="B921">
        <v>39</v>
      </c>
      <c r="C921" t="s">
        <v>29</v>
      </c>
      <c r="D921" t="s">
        <v>32</v>
      </c>
      <c r="E921" t="s">
        <v>24</v>
      </c>
      <c r="F921" t="s">
        <v>33</v>
      </c>
      <c r="G921" s="4">
        <v>29</v>
      </c>
      <c r="H921" t="s">
        <v>43</v>
      </c>
      <c r="I921" s="4">
        <v>39</v>
      </c>
      <c r="J921" t="s">
        <v>27</v>
      </c>
      <c r="K921" t="s">
        <v>20</v>
      </c>
      <c r="L921" t="s">
        <v>21</v>
      </c>
      <c r="M921" t="s">
        <v>22</v>
      </c>
      <c r="N921">
        <v>5</v>
      </c>
    </row>
    <row r="922" spans="1:14" x14ac:dyDescent="0.25">
      <c r="A922">
        <v>921</v>
      </c>
      <c r="B922">
        <v>18</v>
      </c>
      <c r="C922" t="s">
        <v>14</v>
      </c>
      <c r="D922" t="s">
        <v>36</v>
      </c>
      <c r="E922" t="s">
        <v>24</v>
      </c>
      <c r="F922" t="s">
        <v>25</v>
      </c>
      <c r="G922" s="4">
        <v>23</v>
      </c>
      <c r="H922" t="s">
        <v>37</v>
      </c>
      <c r="I922" s="4">
        <v>2785</v>
      </c>
      <c r="J922" t="s">
        <v>19</v>
      </c>
      <c r="K922" t="s">
        <v>48</v>
      </c>
      <c r="L922" t="s">
        <v>28</v>
      </c>
      <c r="M922" t="s">
        <v>31</v>
      </c>
      <c r="N922">
        <v>3</v>
      </c>
    </row>
    <row r="923" spans="1:14" x14ac:dyDescent="0.25">
      <c r="A923">
        <v>922</v>
      </c>
      <c r="B923">
        <v>32</v>
      </c>
      <c r="C923" t="s">
        <v>29</v>
      </c>
      <c r="D923" t="s">
        <v>36</v>
      </c>
      <c r="E923" t="s">
        <v>39</v>
      </c>
      <c r="F923" t="s">
        <v>30</v>
      </c>
      <c r="G923" s="4">
        <v>20</v>
      </c>
      <c r="H923" t="s">
        <v>34</v>
      </c>
      <c r="I923" s="4">
        <v>1436</v>
      </c>
      <c r="J923" t="s">
        <v>49</v>
      </c>
      <c r="K923" t="s">
        <v>48</v>
      </c>
      <c r="L923" t="s">
        <v>28</v>
      </c>
      <c r="M923" t="s">
        <v>31</v>
      </c>
      <c r="N923">
        <v>5</v>
      </c>
    </row>
    <row r="924" spans="1:14" x14ac:dyDescent="0.25">
      <c r="A924">
        <v>923</v>
      </c>
      <c r="B924">
        <v>40</v>
      </c>
      <c r="C924" t="s">
        <v>29</v>
      </c>
      <c r="D924" t="s">
        <v>15</v>
      </c>
      <c r="E924" t="s">
        <v>39</v>
      </c>
      <c r="F924" t="s">
        <v>17</v>
      </c>
      <c r="G924" s="4">
        <v>15</v>
      </c>
      <c r="H924" t="s">
        <v>47</v>
      </c>
      <c r="I924" s="4">
        <v>2121</v>
      </c>
      <c r="J924" t="s">
        <v>44</v>
      </c>
      <c r="K924" t="s">
        <v>20</v>
      </c>
      <c r="L924" t="s">
        <v>21</v>
      </c>
      <c r="M924" t="s">
        <v>22</v>
      </c>
      <c r="N924">
        <v>5</v>
      </c>
    </row>
    <row r="925" spans="1:14" x14ac:dyDescent="0.25">
      <c r="A925">
        <v>924</v>
      </c>
      <c r="B925">
        <v>29</v>
      </c>
      <c r="C925" t="s">
        <v>23</v>
      </c>
      <c r="D925" t="s">
        <v>36</v>
      </c>
      <c r="E925" t="s">
        <v>24</v>
      </c>
      <c r="F925" t="s">
        <v>42</v>
      </c>
      <c r="G925" s="4">
        <v>20</v>
      </c>
      <c r="H925" t="s">
        <v>34</v>
      </c>
      <c r="I925" s="4">
        <v>126</v>
      </c>
      <c r="J925" t="s">
        <v>27</v>
      </c>
      <c r="K925" t="s">
        <v>48</v>
      </c>
      <c r="L925" t="s">
        <v>21</v>
      </c>
      <c r="M925" t="s">
        <v>31</v>
      </c>
      <c r="N925">
        <v>2</v>
      </c>
    </row>
    <row r="926" spans="1:14" x14ac:dyDescent="0.25">
      <c r="A926">
        <v>925</v>
      </c>
      <c r="B926">
        <v>38</v>
      </c>
      <c r="C926" t="s">
        <v>29</v>
      </c>
      <c r="D926" t="s">
        <v>36</v>
      </c>
      <c r="E926" t="s">
        <v>16</v>
      </c>
      <c r="F926" t="s">
        <v>30</v>
      </c>
      <c r="G926" s="4">
        <v>8</v>
      </c>
      <c r="H926" t="s">
        <v>34</v>
      </c>
      <c r="I926" s="4">
        <v>1121</v>
      </c>
      <c r="J926" t="s">
        <v>50</v>
      </c>
      <c r="K926" t="s">
        <v>20</v>
      </c>
      <c r="L926" t="s">
        <v>28</v>
      </c>
      <c r="M926" t="s">
        <v>31</v>
      </c>
      <c r="N926">
        <v>5</v>
      </c>
    </row>
    <row r="927" spans="1:14" x14ac:dyDescent="0.25">
      <c r="A927">
        <v>926</v>
      </c>
      <c r="B927">
        <v>27</v>
      </c>
      <c r="C927" t="s">
        <v>23</v>
      </c>
      <c r="D927" t="s">
        <v>36</v>
      </c>
      <c r="E927" t="s">
        <v>39</v>
      </c>
      <c r="F927" t="s">
        <v>45</v>
      </c>
      <c r="G927" s="4">
        <v>11</v>
      </c>
      <c r="H927" t="s">
        <v>18</v>
      </c>
      <c r="I927" s="4">
        <v>168</v>
      </c>
      <c r="J927" t="s">
        <v>45</v>
      </c>
      <c r="K927" t="s">
        <v>20</v>
      </c>
      <c r="L927" t="s">
        <v>28</v>
      </c>
      <c r="M927" t="s">
        <v>31</v>
      </c>
      <c r="N927">
        <v>5</v>
      </c>
    </row>
    <row r="928" spans="1:14" x14ac:dyDescent="0.25">
      <c r="A928">
        <v>927</v>
      </c>
      <c r="B928">
        <v>21</v>
      </c>
      <c r="C928" t="s">
        <v>29</v>
      </c>
      <c r="D928" t="s">
        <v>36</v>
      </c>
      <c r="E928" t="s">
        <v>16</v>
      </c>
      <c r="F928" t="s">
        <v>45</v>
      </c>
      <c r="G928" s="4">
        <v>5</v>
      </c>
      <c r="H928" t="s">
        <v>46</v>
      </c>
      <c r="I928" s="4">
        <v>2043</v>
      </c>
      <c r="J928" t="s">
        <v>44</v>
      </c>
      <c r="K928" t="s">
        <v>34</v>
      </c>
      <c r="L928" t="s">
        <v>28</v>
      </c>
      <c r="M928" t="s">
        <v>31</v>
      </c>
      <c r="N928">
        <v>2</v>
      </c>
    </row>
    <row r="929" spans="1:14" x14ac:dyDescent="0.25">
      <c r="A929">
        <v>928</v>
      </c>
      <c r="B929">
        <v>20</v>
      </c>
      <c r="C929" t="s">
        <v>29</v>
      </c>
      <c r="D929" t="s">
        <v>15</v>
      </c>
      <c r="E929" t="s">
        <v>16</v>
      </c>
      <c r="F929" t="s">
        <v>30</v>
      </c>
      <c r="G929" s="4">
        <v>30</v>
      </c>
      <c r="H929" t="s">
        <v>18</v>
      </c>
      <c r="I929" s="4">
        <v>1207</v>
      </c>
      <c r="J929" t="s">
        <v>41</v>
      </c>
      <c r="K929" t="s">
        <v>20</v>
      </c>
      <c r="L929" t="s">
        <v>28</v>
      </c>
      <c r="M929" t="s">
        <v>22</v>
      </c>
      <c r="N929">
        <v>1</v>
      </c>
    </row>
    <row r="930" spans="1:14" x14ac:dyDescent="0.25">
      <c r="A930">
        <v>929</v>
      </c>
      <c r="B930">
        <v>31</v>
      </c>
      <c r="C930" t="s">
        <v>14</v>
      </c>
      <c r="D930" t="s">
        <v>32</v>
      </c>
      <c r="E930" t="s">
        <v>16</v>
      </c>
      <c r="F930" t="s">
        <v>30</v>
      </c>
      <c r="G930" s="4">
        <v>16</v>
      </c>
      <c r="H930" t="s">
        <v>46</v>
      </c>
      <c r="I930" s="4">
        <v>2704</v>
      </c>
      <c r="J930" t="s">
        <v>44</v>
      </c>
      <c r="K930" t="s">
        <v>48</v>
      </c>
      <c r="L930" t="s">
        <v>28</v>
      </c>
      <c r="M930" t="s">
        <v>22</v>
      </c>
      <c r="N930">
        <v>1</v>
      </c>
    </row>
    <row r="931" spans="1:14" x14ac:dyDescent="0.25">
      <c r="A931">
        <v>930</v>
      </c>
      <c r="B931">
        <v>24</v>
      </c>
      <c r="C931" t="s">
        <v>29</v>
      </c>
      <c r="D931" t="s">
        <v>15</v>
      </c>
      <c r="E931" t="s">
        <v>16</v>
      </c>
      <c r="F931" t="s">
        <v>42</v>
      </c>
      <c r="G931" s="4">
        <v>18</v>
      </c>
      <c r="H931" t="s">
        <v>34</v>
      </c>
      <c r="I931" s="4">
        <v>2397</v>
      </c>
      <c r="J931" t="s">
        <v>27</v>
      </c>
      <c r="K931" t="s">
        <v>20</v>
      </c>
      <c r="L931" t="s">
        <v>28</v>
      </c>
      <c r="M931" t="s">
        <v>31</v>
      </c>
      <c r="N931">
        <v>1</v>
      </c>
    </row>
    <row r="932" spans="1:14" x14ac:dyDescent="0.25">
      <c r="A932">
        <v>931</v>
      </c>
      <c r="B932">
        <v>21</v>
      </c>
      <c r="C932" t="s">
        <v>29</v>
      </c>
      <c r="D932" t="s">
        <v>15</v>
      </c>
      <c r="E932" t="s">
        <v>24</v>
      </c>
      <c r="F932" t="s">
        <v>42</v>
      </c>
      <c r="G932" s="4">
        <v>13</v>
      </c>
      <c r="H932" t="s">
        <v>34</v>
      </c>
      <c r="I932" s="4">
        <v>1237</v>
      </c>
      <c r="J932" t="s">
        <v>44</v>
      </c>
      <c r="K932" t="s">
        <v>38</v>
      </c>
      <c r="L932" t="s">
        <v>28</v>
      </c>
      <c r="M932" t="s">
        <v>22</v>
      </c>
      <c r="N932">
        <v>5</v>
      </c>
    </row>
    <row r="933" spans="1:14" x14ac:dyDescent="0.25">
      <c r="A933">
        <v>932</v>
      </c>
      <c r="B933">
        <v>31</v>
      </c>
      <c r="C933" t="s">
        <v>29</v>
      </c>
      <c r="D933" t="s">
        <v>15</v>
      </c>
      <c r="E933" t="s">
        <v>39</v>
      </c>
      <c r="F933" t="s">
        <v>45</v>
      </c>
      <c r="G933" s="4">
        <v>22</v>
      </c>
      <c r="H933" t="s">
        <v>43</v>
      </c>
      <c r="I933" s="4">
        <v>817</v>
      </c>
      <c r="J933" t="s">
        <v>44</v>
      </c>
      <c r="K933" t="s">
        <v>20</v>
      </c>
      <c r="L933" t="s">
        <v>28</v>
      </c>
      <c r="M933" t="s">
        <v>22</v>
      </c>
      <c r="N933">
        <v>3</v>
      </c>
    </row>
    <row r="934" spans="1:14" x14ac:dyDescent="0.25">
      <c r="A934">
        <v>933</v>
      </c>
      <c r="B934">
        <v>22</v>
      </c>
      <c r="C934" t="s">
        <v>23</v>
      </c>
      <c r="D934" t="s">
        <v>36</v>
      </c>
      <c r="E934" t="s">
        <v>24</v>
      </c>
      <c r="F934" t="s">
        <v>30</v>
      </c>
      <c r="G934" s="4">
        <v>21</v>
      </c>
      <c r="H934" t="s">
        <v>43</v>
      </c>
      <c r="I934" s="4">
        <v>1810</v>
      </c>
      <c r="J934" t="s">
        <v>50</v>
      </c>
      <c r="K934" t="s">
        <v>20</v>
      </c>
      <c r="L934" t="s">
        <v>28</v>
      </c>
      <c r="M934" t="s">
        <v>31</v>
      </c>
      <c r="N934">
        <v>3</v>
      </c>
    </row>
    <row r="935" spans="1:14" x14ac:dyDescent="0.25">
      <c r="A935">
        <v>934</v>
      </c>
      <c r="B935">
        <v>31</v>
      </c>
      <c r="C935" t="s">
        <v>14</v>
      </c>
      <c r="D935" t="s">
        <v>32</v>
      </c>
      <c r="E935" t="s">
        <v>16</v>
      </c>
      <c r="F935" t="s">
        <v>25</v>
      </c>
      <c r="G935" s="4">
        <v>19</v>
      </c>
      <c r="H935" t="s">
        <v>46</v>
      </c>
      <c r="I935" s="4">
        <v>113</v>
      </c>
      <c r="J935" t="s">
        <v>27</v>
      </c>
      <c r="K935" t="s">
        <v>34</v>
      </c>
      <c r="L935" t="s">
        <v>21</v>
      </c>
      <c r="M935" t="s">
        <v>31</v>
      </c>
      <c r="N935">
        <v>5</v>
      </c>
    </row>
    <row r="936" spans="1:14" x14ac:dyDescent="0.25">
      <c r="A936">
        <v>935</v>
      </c>
      <c r="B936">
        <v>19</v>
      </c>
      <c r="C936" t="s">
        <v>29</v>
      </c>
      <c r="D936" t="s">
        <v>36</v>
      </c>
      <c r="E936" t="s">
        <v>16</v>
      </c>
      <c r="F936" t="s">
        <v>42</v>
      </c>
      <c r="G936" s="4">
        <v>29</v>
      </c>
      <c r="H936" t="s">
        <v>43</v>
      </c>
      <c r="I936" s="4">
        <v>1608</v>
      </c>
      <c r="J936" t="s">
        <v>41</v>
      </c>
      <c r="K936" t="s">
        <v>48</v>
      </c>
      <c r="L936" t="s">
        <v>21</v>
      </c>
      <c r="M936" t="s">
        <v>31</v>
      </c>
      <c r="N936">
        <v>2</v>
      </c>
    </row>
    <row r="937" spans="1:14" x14ac:dyDescent="0.25">
      <c r="A937">
        <v>936</v>
      </c>
      <c r="B937">
        <v>38</v>
      </c>
      <c r="C937" t="s">
        <v>14</v>
      </c>
      <c r="D937" t="s">
        <v>32</v>
      </c>
      <c r="E937" t="s">
        <v>24</v>
      </c>
      <c r="F937" t="s">
        <v>42</v>
      </c>
      <c r="G937" s="4">
        <v>8</v>
      </c>
      <c r="H937" t="s">
        <v>34</v>
      </c>
      <c r="I937" s="4">
        <v>1365</v>
      </c>
      <c r="J937" t="s">
        <v>41</v>
      </c>
      <c r="K937" t="s">
        <v>48</v>
      </c>
      <c r="L937" t="s">
        <v>21</v>
      </c>
      <c r="M937" t="s">
        <v>22</v>
      </c>
      <c r="N937">
        <v>5</v>
      </c>
    </row>
    <row r="938" spans="1:14" x14ac:dyDescent="0.25">
      <c r="A938">
        <v>937</v>
      </c>
      <c r="B938">
        <v>34</v>
      </c>
      <c r="C938" t="s">
        <v>14</v>
      </c>
      <c r="D938" t="s">
        <v>15</v>
      </c>
      <c r="E938" t="s">
        <v>24</v>
      </c>
      <c r="F938" t="s">
        <v>17</v>
      </c>
      <c r="G938" s="4">
        <v>9</v>
      </c>
      <c r="H938" t="s">
        <v>37</v>
      </c>
      <c r="I938" s="4">
        <v>2302</v>
      </c>
      <c r="J938" t="s">
        <v>35</v>
      </c>
      <c r="K938" t="s">
        <v>34</v>
      </c>
      <c r="L938" t="s">
        <v>21</v>
      </c>
      <c r="M938" t="s">
        <v>31</v>
      </c>
      <c r="N938">
        <v>4</v>
      </c>
    </row>
    <row r="939" spans="1:14" x14ac:dyDescent="0.25">
      <c r="A939">
        <v>938</v>
      </c>
      <c r="B939">
        <v>37</v>
      </c>
      <c r="C939" t="s">
        <v>14</v>
      </c>
      <c r="D939" t="s">
        <v>15</v>
      </c>
      <c r="E939" t="s">
        <v>16</v>
      </c>
      <c r="F939" t="s">
        <v>45</v>
      </c>
      <c r="G939" s="4">
        <v>27</v>
      </c>
      <c r="H939" t="s">
        <v>18</v>
      </c>
      <c r="I939" s="4">
        <v>822</v>
      </c>
      <c r="J939" t="s">
        <v>19</v>
      </c>
      <c r="K939" t="s">
        <v>38</v>
      </c>
      <c r="L939" t="s">
        <v>21</v>
      </c>
      <c r="M939" t="s">
        <v>22</v>
      </c>
      <c r="N939">
        <v>1</v>
      </c>
    </row>
    <row r="940" spans="1:14" x14ac:dyDescent="0.25">
      <c r="A940">
        <v>939</v>
      </c>
      <c r="B940">
        <v>33</v>
      </c>
      <c r="C940" t="s">
        <v>29</v>
      </c>
      <c r="D940" t="s">
        <v>15</v>
      </c>
      <c r="E940" t="s">
        <v>16</v>
      </c>
      <c r="F940" t="s">
        <v>30</v>
      </c>
      <c r="G940" s="4">
        <v>5</v>
      </c>
      <c r="H940" t="s">
        <v>26</v>
      </c>
      <c r="I940" s="4">
        <v>2071</v>
      </c>
      <c r="J940" t="s">
        <v>49</v>
      </c>
      <c r="K940" t="s">
        <v>38</v>
      </c>
      <c r="L940" t="s">
        <v>21</v>
      </c>
      <c r="M940" t="s">
        <v>31</v>
      </c>
      <c r="N940">
        <v>4</v>
      </c>
    </row>
    <row r="941" spans="1:14" x14ac:dyDescent="0.25">
      <c r="A941">
        <v>940</v>
      </c>
      <c r="B941">
        <v>37</v>
      </c>
      <c r="C941" t="s">
        <v>14</v>
      </c>
      <c r="D941" t="s">
        <v>32</v>
      </c>
      <c r="E941" t="s">
        <v>16</v>
      </c>
      <c r="F941" t="s">
        <v>17</v>
      </c>
      <c r="G941" s="4">
        <v>26</v>
      </c>
      <c r="H941" t="s">
        <v>47</v>
      </c>
      <c r="I941" s="4">
        <v>1798</v>
      </c>
      <c r="J941" t="s">
        <v>44</v>
      </c>
      <c r="K941" t="s">
        <v>38</v>
      </c>
      <c r="L941" t="s">
        <v>21</v>
      </c>
      <c r="M941" t="s">
        <v>22</v>
      </c>
      <c r="N941">
        <v>5</v>
      </c>
    </row>
    <row r="942" spans="1:14" x14ac:dyDescent="0.25">
      <c r="A942">
        <v>941</v>
      </c>
      <c r="B942">
        <v>34</v>
      </c>
      <c r="C942" t="s">
        <v>14</v>
      </c>
      <c r="D942" t="s">
        <v>32</v>
      </c>
      <c r="E942" t="s">
        <v>39</v>
      </c>
      <c r="F942" t="s">
        <v>30</v>
      </c>
      <c r="G942" s="4">
        <v>28</v>
      </c>
      <c r="H942" t="s">
        <v>46</v>
      </c>
      <c r="I942" s="4">
        <v>2865</v>
      </c>
      <c r="J942" t="s">
        <v>19</v>
      </c>
      <c r="K942" t="s">
        <v>20</v>
      </c>
      <c r="L942" t="s">
        <v>28</v>
      </c>
      <c r="M942" t="s">
        <v>31</v>
      </c>
      <c r="N942">
        <v>5</v>
      </c>
    </row>
    <row r="943" spans="1:14" x14ac:dyDescent="0.25">
      <c r="A943">
        <v>942</v>
      </c>
      <c r="B943">
        <v>30</v>
      </c>
      <c r="C943" t="s">
        <v>29</v>
      </c>
      <c r="D943" t="s">
        <v>32</v>
      </c>
      <c r="E943" t="s">
        <v>39</v>
      </c>
      <c r="F943" t="s">
        <v>25</v>
      </c>
      <c r="G943" s="4">
        <v>17</v>
      </c>
      <c r="H943" t="s">
        <v>47</v>
      </c>
      <c r="I943" s="4">
        <v>2857</v>
      </c>
      <c r="J943" t="s">
        <v>35</v>
      </c>
      <c r="K943" t="s">
        <v>20</v>
      </c>
      <c r="L943" t="s">
        <v>21</v>
      </c>
      <c r="M943" t="s">
        <v>31</v>
      </c>
      <c r="N943">
        <v>1</v>
      </c>
    </row>
    <row r="944" spans="1:14" x14ac:dyDescent="0.25">
      <c r="A944">
        <v>943</v>
      </c>
      <c r="B944">
        <v>18</v>
      </c>
      <c r="C944" t="s">
        <v>23</v>
      </c>
      <c r="D944" t="s">
        <v>36</v>
      </c>
      <c r="E944" t="s">
        <v>24</v>
      </c>
      <c r="F944" t="s">
        <v>45</v>
      </c>
      <c r="G944" s="4">
        <v>23</v>
      </c>
      <c r="H944" t="s">
        <v>43</v>
      </c>
      <c r="I944" s="4">
        <v>1240</v>
      </c>
      <c r="J944" t="s">
        <v>41</v>
      </c>
      <c r="K944" t="s">
        <v>34</v>
      </c>
      <c r="L944" t="s">
        <v>21</v>
      </c>
      <c r="M944" t="s">
        <v>31</v>
      </c>
      <c r="N944">
        <v>1</v>
      </c>
    </row>
    <row r="945" spans="1:14" x14ac:dyDescent="0.25">
      <c r="A945">
        <v>944</v>
      </c>
      <c r="B945">
        <v>32</v>
      </c>
      <c r="C945" t="s">
        <v>29</v>
      </c>
      <c r="D945" t="s">
        <v>36</v>
      </c>
      <c r="E945" t="s">
        <v>24</v>
      </c>
      <c r="F945" t="s">
        <v>25</v>
      </c>
      <c r="G945" s="4">
        <v>13</v>
      </c>
      <c r="H945" t="s">
        <v>34</v>
      </c>
      <c r="I945" s="4">
        <v>37</v>
      </c>
      <c r="J945" t="s">
        <v>45</v>
      </c>
      <c r="K945" t="s">
        <v>48</v>
      </c>
      <c r="L945" t="s">
        <v>21</v>
      </c>
      <c r="M945" t="s">
        <v>22</v>
      </c>
      <c r="N945">
        <v>2</v>
      </c>
    </row>
    <row r="946" spans="1:14" x14ac:dyDescent="0.25">
      <c r="A946">
        <v>945</v>
      </c>
      <c r="B946">
        <v>29</v>
      </c>
      <c r="C946" t="s">
        <v>29</v>
      </c>
      <c r="D946" t="s">
        <v>32</v>
      </c>
      <c r="E946" t="s">
        <v>24</v>
      </c>
      <c r="F946" t="s">
        <v>25</v>
      </c>
      <c r="G946" s="4">
        <v>25</v>
      </c>
      <c r="H946" t="s">
        <v>46</v>
      </c>
      <c r="I946" s="4">
        <v>2945</v>
      </c>
      <c r="J946" t="s">
        <v>35</v>
      </c>
      <c r="K946" t="s">
        <v>20</v>
      </c>
      <c r="L946" t="s">
        <v>21</v>
      </c>
      <c r="M946" t="s">
        <v>31</v>
      </c>
      <c r="N946">
        <v>5</v>
      </c>
    </row>
    <row r="947" spans="1:14" x14ac:dyDescent="0.25">
      <c r="A947">
        <v>946</v>
      </c>
      <c r="B947">
        <v>30</v>
      </c>
      <c r="C947" t="s">
        <v>23</v>
      </c>
      <c r="D947" t="s">
        <v>36</v>
      </c>
      <c r="E947" t="s">
        <v>24</v>
      </c>
      <c r="F947" t="s">
        <v>17</v>
      </c>
      <c r="G947" s="4">
        <v>20</v>
      </c>
      <c r="H947" t="s">
        <v>46</v>
      </c>
      <c r="I947" s="4">
        <v>2481</v>
      </c>
      <c r="J947" t="s">
        <v>44</v>
      </c>
      <c r="K947" t="s">
        <v>34</v>
      </c>
      <c r="L947" t="s">
        <v>28</v>
      </c>
      <c r="M947" t="s">
        <v>31</v>
      </c>
      <c r="N947">
        <v>2</v>
      </c>
    </row>
    <row r="948" spans="1:14" x14ac:dyDescent="0.25">
      <c r="A948">
        <v>947</v>
      </c>
      <c r="B948">
        <v>20</v>
      </c>
      <c r="C948" t="s">
        <v>14</v>
      </c>
      <c r="D948" t="s">
        <v>15</v>
      </c>
      <c r="E948" t="s">
        <v>24</v>
      </c>
      <c r="F948" t="s">
        <v>33</v>
      </c>
      <c r="G948" s="4">
        <v>6</v>
      </c>
      <c r="H948" t="s">
        <v>43</v>
      </c>
      <c r="I948" s="4">
        <v>120</v>
      </c>
      <c r="J948" t="s">
        <v>49</v>
      </c>
      <c r="K948" t="s">
        <v>34</v>
      </c>
      <c r="L948" t="s">
        <v>21</v>
      </c>
      <c r="M948" t="s">
        <v>22</v>
      </c>
      <c r="N948">
        <v>2</v>
      </c>
    </row>
    <row r="949" spans="1:14" x14ac:dyDescent="0.25">
      <c r="A949">
        <v>948</v>
      </c>
      <c r="B949">
        <v>21</v>
      </c>
      <c r="C949" t="s">
        <v>29</v>
      </c>
      <c r="D949" t="s">
        <v>15</v>
      </c>
      <c r="E949" t="s">
        <v>16</v>
      </c>
      <c r="F949" t="s">
        <v>45</v>
      </c>
      <c r="G949" s="4">
        <v>10</v>
      </c>
      <c r="H949" t="s">
        <v>46</v>
      </c>
      <c r="I949" s="4">
        <v>2982</v>
      </c>
      <c r="J949" t="s">
        <v>19</v>
      </c>
      <c r="K949" t="s">
        <v>48</v>
      </c>
      <c r="L949" t="s">
        <v>21</v>
      </c>
      <c r="M949" t="s">
        <v>31</v>
      </c>
      <c r="N949">
        <v>4</v>
      </c>
    </row>
    <row r="950" spans="1:14" x14ac:dyDescent="0.25">
      <c r="A950">
        <v>949</v>
      </c>
      <c r="B950">
        <v>29</v>
      </c>
      <c r="C950" t="s">
        <v>14</v>
      </c>
      <c r="D950" t="s">
        <v>32</v>
      </c>
      <c r="E950" t="s">
        <v>16</v>
      </c>
      <c r="F950" t="s">
        <v>17</v>
      </c>
      <c r="G950" s="4">
        <v>24</v>
      </c>
      <c r="H950" t="s">
        <v>43</v>
      </c>
      <c r="I950" s="4">
        <v>2585</v>
      </c>
      <c r="J950" t="s">
        <v>45</v>
      </c>
      <c r="K950" t="s">
        <v>38</v>
      </c>
      <c r="L950" t="s">
        <v>21</v>
      </c>
      <c r="M950" t="s">
        <v>22</v>
      </c>
      <c r="N950">
        <v>1</v>
      </c>
    </row>
    <row r="951" spans="1:14" x14ac:dyDescent="0.25">
      <c r="A951">
        <v>950</v>
      </c>
      <c r="B951">
        <v>26</v>
      </c>
      <c r="C951" t="s">
        <v>14</v>
      </c>
      <c r="D951" t="s">
        <v>15</v>
      </c>
      <c r="E951" t="s">
        <v>24</v>
      </c>
      <c r="F951" t="s">
        <v>25</v>
      </c>
      <c r="G951" s="4">
        <v>20</v>
      </c>
      <c r="H951" t="s">
        <v>26</v>
      </c>
      <c r="I951" s="4">
        <v>1792</v>
      </c>
      <c r="J951" t="s">
        <v>27</v>
      </c>
      <c r="K951" t="s">
        <v>48</v>
      </c>
      <c r="L951" t="s">
        <v>21</v>
      </c>
      <c r="M951" t="s">
        <v>22</v>
      </c>
      <c r="N951">
        <v>3</v>
      </c>
    </row>
    <row r="952" spans="1:14" x14ac:dyDescent="0.25">
      <c r="A952">
        <v>951</v>
      </c>
      <c r="B952">
        <v>24</v>
      </c>
      <c r="C952" t="s">
        <v>29</v>
      </c>
      <c r="D952" t="s">
        <v>32</v>
      </c>
      <c r="E952" t="s">
        <v>24</v>
      </c>
      <c r="F952" t="s">
        <v>45</v>
      </c>
      <c r="G952" s="4">
        <v>6</v>
      </c>
      <c r="H952" t="s">
        <v>18</v>
      </c>
      <c r="I952" s="4">
        <v>575</v>
      </c>
      <c r="J952" t="s">
        <v>50</v>
      </c>
      <c r="K952" t="s">
        <v>38</v>
      </c>
      <c r="L952" t="s">
        <v>28</v>
      </c>
      <c r="M952" t="s">
        <v>22</v>
      </c>
      <c r="N952">
        <v>1</v>
      </c>
    </row>
    <row r="953" spans="1:14" x14ac:dyDescent="0.25">
      <c r="A953">
        <v>952</v>
      </c>
      <c r="B953">
        <v>24</v>
      </c>
      <c r="C953" t="s">
        <v>29</v>
      </c>
      <c r="D953" t="s">
        <v>32</v>
      </c>
      <c r="E953" t="s">
        <v>24</v>
      </c>
      <c r="F953" t="s">
        <v>45</v>
      </c>
      <c r="G953" s="4">
        <v>23</v>
      </c>
      <c r="H953" t="s">
        <v>37</v>
      </c>
      <c r="I953" s="4">
        <v>1940</v>
      </c>
      <c r="J953" t="s">
        <v>19</v>
      </c>
      <c r="K953" t="s">
        <v>20</v>
      </c>
      <c r="L953" t="s">
        <v>28</v>
      </c>
      <c r="M953" t="s">
        <v>31</v>
      </c>
      <c r="N953">
        <v>5</v>
      </c>
    </row>
    <row r="954" spans="1:14" x14ac:dyDescent="0.25">
      <c r="A954">
        <v>953</v>
      </c>
      <c r="B954">
        <v>20</v>
      </c>
      <c r="C954" t="s">
        <v>23</v>
      </c>
      <c r="D954" t="s">
        <v>32</v>
      </c>
      <c r="E954" t="s">
        <v>16</v>
      </c>
      <c r="F954" t="s">
        <v>33</v>
      </c>
      <c r="G954" s="4">
        <v>23</v>
      </c>
      <c r="H954" t="s">
        <v>43</v>
      </c>
      <c r="I954" s="4">
        <v>320</v>
      </c>
      <c r="J954" t="s">
        <v>27</v>
      </c>
      <c r="K954" t="s">
        <v>48</v>
      </c>
      <c r="L954" t="s">
        <v>28</v>
      </c>
      <c r="M954" t="s">
        <v>22</v>
      </c>
      <c r="N954">
        <v>2</v>
      </c>
    </row>
    <row r="955" spans="1:14" x14ac:dyDescent="0.25">
      <c r="A955">
        <v>954</v>
      </c>
      <c r="B955">
        <v>25</v>
      </c>
      <c r="C955" t="s">
        <v>23</v>
      </c>
      <c r="D955" t="s">
        <v>32</v>
      </c>
      <c r="E955" t="s">
        <v>16</v>
      </c>
      <c r="F955" t="s">
        <v>25</v>
      </c>
      <c r="G955" s="4">
        <v>14</v>
      </c>
      <c r="H955" t="s">
        <v>46</v>
      </c>
      <c r="I955" s="4">
        <v>1029</v>
      </c>
      <c r="J955" t="s">
        <v>19</v>
      </c>
      <c r="K955" t="s">
        <v>38</v>
      </c>
      <c r="L955" t="s">
        <v>28</v>
      </c>
      <c r="M955" t="s">
        <v>31</v>
      </c>
      <c r="N955">
        <v>4</v>
      </c>
    </row>
    <row r="956" spans="1:14" x14ac:dyDescent="0.25">
      <c r="A956">
        <v>955</v>
      </c>
      <c r="B956">
        <v>37</v>
      </c>
      <c r="C956" t="s">
        <v>23</v>
      </c>
      <c r="D956" t="s">
        <v>32</v>
      </c>
      <c r="E956" t="s">
        <v>39</v>
      </c>
      <c r="F956" t="s">
        <v>17</v>
      </c>
      <c r="G956" s="4">
        <v>6</v>
      </c>
      <c r="H956" t="s">
        <v>47</v>
      </c>
      <c r="I956" s="4">
        <v>2236</v>
      </c>
      <c r="J956" t="s">
        <v>41</v>
      </c>
      <c r="K956" t="s">
        <v>34</v>
      </c>
      <c r="L956" t="s">
        <v>28</v>
      </c>
      <c r="M956" t="s">
        <v>31</v>
      </c>
      <c r="N956">
        <v>1</v>
      </c>
    </row>
    <row r="957" spans="1:14" x14ac:dyDescent="0.25">
      <c r="A957">
        <v>956</v>
      </c>
      <c r="B957">
        <v>24</v>
      </c>
      <c r="C957" t="s">
        <v>14</v>
      </c>
      <c r="D957" t="s">
        <v>36</v>
      </c>
      <c r="E957" t="s">
        <v>24</v>
      </c>
      <c r="F957" t="s">
        <v>30</v>
      </c>
      <c r="G957" s="4">
        <v>15</v>
      </c>
      <c r="H957" t="s">
        <v>47</v>
      </c>
      <c r="I957" s="4">
        <v>243</v>
      </c>
      <c r="J957" t="s">
        <v>27</v>
      </c>
      <c r="K957" t="s">
        <v>20</v>
      </c>
      <c r="L957" t="s">
        <v>21</v>
      </c>
      <c r="M957" t="s">
        <v>22</v>
      </c>
      <c r="N957">
        <v>2</v>
      </c>
    </row>
    <row r="958" spans="1:14" x14ac:dyDescent="0.25">
      <c r="A958">
        <v>957</v>
      </c>
      <c r="B958">
        <v>29</v>
      </c>
      <c r="C958" t="s">
        <v>23</v>
      </c>
      <c r="D958" t="s">
        <v>36</v>
      </c>
      <c r="E958" t="s">
        <v>16</v>
      </c>
      <c r="F958" t="s">
        <v>45</v>
      </c>
      <c r="G958" s="4">
        <v>7</v>
      </c>
      <c r="H958" t="s">
        <v>43</v>
      </c>
      <c r="I958" s="4">
        <v>1704</v>
      </c>
      <c r="J958" t="s">
        <v>44</v>
      </c>
      <c r="K958" t="s">
        <v>34</v>
      </c>
      <c r="L958" t="s">
        <v>21</v>
      </c>
      <c r="M958" t="s">
        <v>22</v>
      </c>
      <c r="N958">
        <v>5</v>
      </c>
    </row>
    <row r="959" spans="1:14" x14ac:dyDescent="0.25">
      <c r="A959">
        <v>958</v>
      </c>
      <c r="B959">
        <v>19</v>
      </c>
      <c r="C959" t="s">
        <v>23</v>
      </c>
      <c r="D959" t="s">
        <v>32</v>
      </c>
      <c r="E959" t="s">
        <v>39</v>
      </c>
      <c r="F959" t="s">
        <v>42</v>
      </c>
      <c r="G959" s="4">
        <v>20</v>
      </c>
      <c r="H959" t="s">
        <v>46</v>
      </c>
      <c r="I959" s="4">
        <v>2079</v>
      </c>
      <c r="J959" t="s">
        <v>27</v>
      </c>
      <c r="K959" t="s">
        <v>48</v>
      </c>
      <c r="L959" t="s">
        <v>21</v>
      </c>
      <c r="M959" t="s">
        <v>22</v>
      </c>
      <c r="N959">
        <v>2</v>
      </c>
    </row>
    <row r="960" spans="1:14" x14ac:dyDescent="0.25">
      <c r="A960">
        <v>959</v>
      </c>
      <c r="B960">
        <v>24</v>
      </c>
      <c r="C960" t="s">
        <v>23</v>
      </c>
      <c r="D960" t="s">
        <v>36</v>
      </c>
      <c r="E960" t="s">
        <v>24</v>
      </c>
      <c r="F960" t="s">
        <v>33</v>
      </c>
      <c r="G960" s="4">
        <v>22</v>
      </c>
      <c r="H960" t="s">
        <v>43</v>
      </c>
      <c r="I960" s="4">
        <v>2490</v>
      </c>
      <c r="J960" t="s">
        <v>41</v>
      </c>
      <c r="K960" t="s">
        <v>20</v>
      </c>
      <c r="L960" t="s">
        <v>28</v>
      </c>
      <c r="M960" t="s">
        <v>22</v>
      </c>
      <c r="N960">
        <v>4</v>
      </c>
    </row>
    <row r="961" spans="1:14" x14ac:dyDescent="0.25">
      <c r="A961">
        <v>960</v>
      </c>
      <c r="B961">
        <v>31</v>
      </c>
      <c r="C961" t="s">
        <v>14</v>
      </c>
      <c r="D961" t="s">
        <v>15</v>
      </c>
      <c r="E961" t="s">
        <v>39</v>
      </c>
      <c r="F961" t="s">
        <v>33</v>
      </c>
      <c r="G961" s="4">
        <v>27</v>
      </c>
      <c r="H961" t="s">
        <v>34</v>
      </c>
      <c r="I961" s="4">
        <v>1748</v>
      </c>
      <c r="J961" t="s">
        <v>50</v>
      </c>
      <c r="K961" t="s">
        <v>38</v>
      </c>
      <c r="L961" t="s">
        <v>28</v>
      </c>
      <c r="M961" t="s">
        <v>31</v>
      </c>
      <c r="N961">
        <v>5</v>
      </c>
    </row>
    <row r="962" spans="1:14" x14ac:dyDescent="0.25">
      <c r="A962">
        <v>961</v>
      </c>
      <c r="B962">
        <v>19</v>
      </c>
      <c r="C962" t="s">
        <v>23</v>
      </c>
      <c r="D962" t="s">
        <v>15</v>
      </c>
      <c r="E962" t="s">
        <v>16</v>
      </c>
      <c r="F962" t="s">
        <v>42</v>
      </c>
      <c r="G962" s="4">
        <v>12</v>
      </c>
      <c r="H962" t="s">
        <v>47</v>
      </c>
      <c r="I962" s="4">
        <v>950</v>
      </c>
      <c r="J962" t="s">
        <v>41</v>
      </c>
      <c r="K962" t="s">
        <v>38</v>
      </c>
      <c r="L962" t="s">
        <v>21</v>
      </c>
      <c r="M962" t="s">
        <v>22</v>
      </c>
      <c r="N962">
        <v>1</v>
      </c>
    </row>
    <row r="963" spans="1:14" x14ac:dyDescent="0.25">
      <c r="A963">
        <v>962</v>
      </c>
      <c r="B963">
        <v>19</v>
      </c>
      <c r="C963" t="s">
        <v>29</v>
      </c>
      <c r="D963" t="s">
        <v>15</v>
      </c>
      <c r="E963" t="s">
        <v>39</v>
      </c>
      <c r="F963" t="s">
        <v>30</v>
      </c>
      <c r="G963" s="4">
        <v>9</v>
      </c>
      <c r="H963" t="s">
        <v>40</v>
      </c>
      <c r="I963" s="4">
        <v>1796</v>
      </c>
      <c r="J963" t="s">
        <v>35</v>
      </c>
      <c r="K963" t="s">
        <v>38</v>
      </c>
      <c r="L963" t="s">
        <v>28</v>
      </c>
      <c r="M963" t="s">
        <v>31</v>
      </c>
      <c r="N963">
        <v>2</v>
      </c>
    </row>
    <row r="964" spans="1:14" x14ac:dyDescent="0.25">
      <c r="A964">
        <v>963</v>
      </c>
      <c r="B964">
        <v>39</v>
      </c>
      <c r="C964" t="s">
        <v>14</v>
      </c>
      <c r="D964" t="s">
        <v>32</v>
      </c>
      <c r="E964" t="s">
        <v>24</v>
      </c>
      <c r="F964" t="s">
        <v>25</v>
      </c>
      <c r="G964" s="4">
        <v>8</v>
      </c>
      <c r="H964" t="s">
        <v>43</v>
      </c>
      <c r="I964" s="4">
        <v>2689</v>
      </c>
      <c r="J964" t="s">
        <v>50</v>
      </c>
      <c r="K964" t="s">
        <v>38</v>
      </c>
      <c r="L964" t="s">
        <v>28</v>
      </c>
      <c r="M964" t="s">
        <v>31</v>
      </c>
      <c r="N964">
        <v>1</v>
      </c>
    </row>
    <row r="965" spans="1:14" x14ac:dyDescent="0.25">
      <c r="A965">
        <v>964</v>
      </c>
      <c r="B965">
        <v>29</v>
      </c>
      <c r="C965" t="s">
        <v>23</v>
      </c>
      <c r="D965" t="s">
        <v>15</v>
      </c>
      <c r="E965" t="s">
        <v>24</v>
      </c>
      <c r="F965" t="s">
        <v>30</v>
      </c>
      <c r="G965" s="4">
        <v>29</v>
      </c>
      <c r="H965" t="s">
        <v>34</v>
      </c>
      <c r="I965" s="4">
        <v>2258</v>
      </c>
      <c r="J965" t="s">
        <v>19</v>
      </c>
      <c r="K965" t="s">
        <v>48</v>
      </c>
      <c r="L965" t="s">
        <v>28</v>
      </c>
      <c r="M965" t="s">
        <v>31</v>
      </c>
      <c r="N965">
        <v>3</v>
      </c>
    </row>
    <row r="966" spans="1:14" x14ac:dyDescent="0.25">
      <c r="A966">
        <v>965</v>
      </c>
      <c r="B966">
        <v>40</v>
      </c>
      <c r="C966" t="s">
        <v>14</v>
      </c>
      <c r="D966" t="s">
        <v>15</v>
      </c>
      <c r="E966" t="s">
        <v>16</v>
      </c>
      <c r="F966" t="s">
        <v>45</v>
      </c>
      <c r="G966" s="4">
        <v>24</v>
      </c>
      <c r="H966" t="s">
        <v>40</v>
      </c>
      <c r="I966" s="4">
        <v>1991</v>
      </c>
      <c r="J966" t="s">
        <v>35</v>
      </c>
      <c r="K966" t="s">
        <v>38</v>
      </c>
      <c r="L966" t="s">
        <v>21</v>
      </c>
      <c r="M966" t="s">
        <v>31</v>
      </c>
      <c r="N966">
        <v>3</v>
      </c>
    </row>
    <row r="967" spans="1:14" x14ac:dyDescent="0.25">
      <c r="A967">
        <v>966</v>
      </c>
      <c r="B967">
        <v>22</v>
      </c>
      <c r="C967" t="s">
        <v>23</v>
      </c>
      <c r="D967" t="s">
        <v>32</v>
      </c>
      <c r="E967" t="s">
        <v>16</v>
      </c>
      <c r="F967" t="s">
        <v>33</v>
      </c>
      <c r="G967" s="4">
        <v>6</v>
      </c>
      <c r="H967" t="s">
        <v>43</v>
      </c>
      <c r="I967" s="4">
        <v>962</v>
      </c>
      <c r="J967" t="s">
        <v>41</v>
      </c>
      <c r="K967" t="s">
        <v>34</v>
      </c>
      <c r="L967" t="s">
        <v>28</v>
      </c>
      <c r="M967" t="s">
        <v>31</v>
      </c>
      <c r="N967">
        <v>4</v>
      </c>
    </row>
    <row r="968" spans="1:14" x14ac:dyDescent="0.25">
      <c r="A968">
        <v>967</v>
      </c>
      <c r="B968">
        <v>27</v>
      </c>
      <c r="C968" t="s">
        <v>23</v>
      </c>
      <c r="D968" t="s">
        <v>32</v>
      </c>
      <c r="E968" t="s">
        <v>39</v>
      </c>
      <c r="F968" t="s">
        <v>33</v>
      </c>
      <c r="G968" s="4">
        <v>7</v>
      </c>
      <c r="H968" t="s">
        <v>26</v>
      </c>
      <c r="I968" s="4">
        <v>244</v>
      </c>
      <c r="J968" t="s">
        <v>45</v>
      </c>
      <c r="K968" t="s">
        <v>20</v>
      </c>
      <c r="L968" t="s">
        <v>21</v>
      </c>
      <c r="M968" t="s">
        <v>22</v>
      </c>
      <c r="N968">
        <v>3</v>
      </c>
    </row>
    <row r="969" spans="1:14" x14ac:dyDescent="0.25">
      <c r="A969">
        <v>968</v>
      </c>
      <c r="B969">
        <v>24</v>
      </c>
      <c r="C969" t="s">
        <v>23</v>
      </c>
      <c r="D969" t="s">
        <v>15</v>
      </c>
      <c r="E969" t="s">
        <v>24</v>
      </c>
      <c r="F969" t="s">
        <v>30</v>
      </c>
      <c r="G969" s="4">
        <v>17</v>
      </c>
      <c r="H969" t="s">
        <v>47</v>
      </c>
      <c r="I969" s="4">
        <v>755</v>
      </c>
      <c r="J969" t="s">
        <v>50</v>
      </c>
      <c r="K969" t="s">
        <v>48</v>
      </c>
      <c r="L969" t="s">
        <v>28</v>
      </c>
      <c r="M969" t="s">
        <v>31</v>
      </c>
      <c r="N969">
        <v>4</v>
      </c>
    </row>
    <row r="970" spans="1:14" x14ac:dyDescent="0.25">
      <c r="A970">
        <v>969</v>
      </c>
      <c r="B970">
        <v>36</v>
      </c>
      <c r="C970" t="s">
        <v>23</v>
      </c>
      <c r="D970" t="s">
        <v>36</v>
      </c>
      <c r="E970" t="s">
        <v>39</v>
      </c>
      <c r="F970" t="s">
        <v>42</v>
      </c>
      <c r="G970" s="4">
        <v>11</v>
      </c>
      <c r="H970" t="s">
        <v>47</v>
      </c>
      <c r="I970" s="4">
        <v>112</v>
      </c>
      <c r="J970" t="s">
        <v>19</v>
      </c>
      <c r="K970" t="s">
        <v>20</v>
      </c>
      <c r="L970" t="s">
        <v>28</v>
      </c>
      <c r="M970" t="s">
        <v>31</v>
      </c>
      <c r="N970">
        <v>3</v>
      </c>
    </row>
    <row r="971" spans="1:14" x14ac:dyDescent="0.25">
      <c r="A971">
        <v>970</v>
      </c>
      <c r="B971">
        <v>31</v>
      </c>
      <c r="C971" t="s">
        <v>23</v>
      </c>
      <c r="D971" t="s">
        <v>32</v>
      </c>
      <c r="E971" t="s">
        <v>16</v>
      </c>
      <c r="F971" t="s">
        <v>42</v>
      </c>
      <c r="G971" s="4">
        <v>23</v>
      </c>
      <c r="H971" t="s">
        <v>43</v>
      </c>
      <c r="I971" s="4">
        <v>2945</v>
      </c>
      <c r="J971" t="s">
        <v>27</v>
      </c>
      <c r="K971" t="s">
        <v>38</v>
      </c>
      <c r="L971" t="s">
        <v>21</v>
      </c>
      <c r="M971" t="s">
        <v>31</v>
      </c>
      <c r="N971">
        <v>5</v>
      </c>
    </row>
    <row r="972" spans="1:14" x14ac:dyDescent="0.25">
      <c r="A972">
        <v>971</v>
      </c>
      <c r="B972">
        <v>39</v>
      </c>
      <c r="C972" t="s">
        <v>23</v>
      </c>
      <c r="D972" t="s">
        <v>32</v>
      </c>
      <c r="E972" t="s">
        <v>39</v>
      </c>
      <c r="F972" t="s">
        <v>45</v>
      </c>
      <c r="G972" s="4">
        <v>13</v>
      </c>
      <c r="H972" t="s">
        <v>26</v>
      </c>
      <c r="I972" s="4">
        <v>350</v>
      </c>
      <c r="J972" t="s">
        <v>41</v>
      </c>
      <c r="K972" t="s">
        <v>34</v>
      </c>
      <c r="L972" t="s">
        <v>28</v>
      </c>
      <c r="M972" t="s">
        <v>31</v>
      </c>
      <c r="N972">
        <v>2</v>
      </c>
    </row>
    <row r="973" spans="1:14" x14ac:dyDescent="0.25">
      <c r="A973">
        <v>972</v>
      </c>
      <c r="B973">
        <v>39</v>
      </c>
      <c r="C973" t="s">
        <v>14</v>
      </c>
      <c r="D973" t="s">
        <v>15</v>
      </c>
      <c r="E973" t="s">
        <v>39</v>
      </c>
      <c r="F973" t="s">
        <v>45</v>
      </c>
      <c r="G973" s="4">
        <v>13</v>
      </c>
      <c r="H973" t="s">
        <v>34</v>
      </c>
      <c r="I973" s="4">
        <v>2674</v>
      </c>
      <c r="J973" t="s">
        <v>35</v>
      </c>
      <c r="K973" t="s">
        <v>38</v>
      </c>
      <c r="L973" t="s">
        <v>28</v>
      </c>
      <c r="M973" t="s">
        <v>31</v>
      </c>
      <c r="N973">
        <v>5</v>
      </c>
    </row>
    <row r="974" spans="1:14" x14ac:dyDescent="0.25">
      <c r="A974">
        <v>973</v>
      </c>
      <c r="B974">
        <v>18</v>
      </c>
      <c r="C974" t="s">
        <v>14</v>
      </c>
      <c r="D974" t="s">
        <v>32</v>
      </c>
      <c r="E974" t="s">
        <v>39</v>
      </c>
      <c r="F974" t="s">
        <v>17</v>
      </c>
      <c r="G974" s="4">
        <v>19</v>
      </c>
      <c r="H974" t="s">
        <v>40</v>
      </c>
      <c r="I974" s="4">
        <v>36</v>
      </c>
      <c r="J974" t="s">
        <v>45</v>
      </c>
      <c r="K974" t="s">
        <v>48</v>
      </c>
      <c r="L974" t="s">
        <v>21</v>
      </c>
      <c r="M974" t="s">
        <v>31</v>
      </c>
      <c r="N974">
        <v>4</v>
      </c>
    </row>
    <row r="975" spans="1:14" x14ac:dyDescent="0.25">
      <c r="A975">
        <v>974</v>
      </c>
      <c r="B975">
        <v>37</v>
      </c>
      <c r="C975" t="s">
        <v>29</v>
      </c>
      <c r="D975" t="s">
        <v>15</v>
      </c>
      <c r="E975" t="s">
        <v>39</v>
      </c>
      <c r="F975" t="s">
        <v>30</v>
      </c>
      <c r="G975" s="4">
        <v>22</v>
      </c>
      <c r="H975" t="s">
        <v>46</v>
      </c>
      <c r="I975" s="4">
        <v>1286</v>
      </c>
      <c r="J975" t="s">
        <v>49</v>
      </c>
      <c r="K975" t="s">
        <v>38</v>
      </c>
      <c r="L975" t="s">
        <v>21</v>
      </c>
      <c r="M975" t="s">
        <v>22</v>
      </c>
      <c r="N975">
        <v>1</v>
      </c>
    </row>
    <row r="976" spans="1:14" x14ac:dyDescent="0.25">
      <c r="A976">
        <v>975</v>
      </c>
      <c r="B976">
        <v>22</v>
      </c>
      <c r="C976" t="s">
        <v>14</v>
      </c>
      <c r="D976" t="s">
        <v>15</v>
      </c>
      <c r="E976" t="s">
        <v>24</v>
      </c>
      <c r="F976" t="s">
        <v>33</v>
      </c>
      <c r="G976" s="4">
        <v>24</v>
      </c>
      <c r="H976" t="s">
        <v>37</v>
      </c>
      <c r="I976" s="4">
        <v>2686</v>
      </c>
      <c r="J976" t="s">
        <v>49</v>
      </c>
      <c r="K976" t="s">
        <v>34</v>
      </c>
      <c r="L976" t="s">
        <v>21</v>
      </c>
      <c r="M976" t="s">
        <v>22</v>
      </c>
      <c r="N976">
        <v>1</v>
      </c>
    </row>
    <row r="977" spans="1:14" x14ac:dyDescent="0.25">
      <c r="A977">
        <v>976</v>
      </c>
      <c r="B977">
        <v>19</v>
      </c>
      <c r="C977" t="s">
        <v>14</v>
      </c>
      <c r="D977" t="s">
        <v>36</v>
      </c>
      <c r="E977" t="s">
        <v>39</v>
      </c>
      <c r="F977" t="s">
        <v>45</v>
      </c>
      <c r="G977" s="4">
        <v>27</v>
      </c>
      <c r="H977" t="s">
        <v>47</v>
      </c>
      <c r="I977" s="4">
        <v>1061</v>
      </c>
      <c r="J977" t="s">
        <v>27</v>
      </c>
      <c r="K977" t="s">
        <v>34</v>
      </c>
      <c r="L977" t="s">
        <v>21</v>
      </c>
      <c r="M977" t="s">
        <v>22</v>
      </c>
      <c r="N977">
        <v>3</v>
      </c>
    </row>
    <row r="978" spans="1:14" x14ac:dyDescent="0.25">
      <c r="A978">
        <v>977</v>
      </c>
      <c r="B978">
        <v>34</v>
      </c>
      <c r="C978" t="s">
        <v>14</v>
      </c>
      <c r="D978" t="s">
        <v>15</v>
      </c>
      <c r="E978" t="s">
        <v>16</v>
      </c>
      <c r="F978" t="s">
        <v>30</v>
      </c>
      <c r="G978" s="4">
        <v>19</v>
      </c>
      <c r="H978" t="s">
        <v>34</v>
      </c>
      <c r="I978" s="4">
        <v>463</v>
      </c>
      <c r="J978" t="s">
        <v>45</v>
      </c>
      <c r="K978" t="s">
        <v>48</v>
      </c>
      <c r="L978" t="s">
        <v>28</v>
      </c>
      <c r="M978" t="s">
        <v>31</v>
      </c>
      <c r="N978">
        <v>5</v>
      </c>
    </row>
    <row r="979" spans="1:14" x14ac:dyDescent="0.25">
      <c r="A979">
        <v>978</v>
      </c>
      <c r="B979">
        <v>22</v>
      </c>
      <c r="C979" t="s">
        <v>29</v>
      </c>
      <c r="D979" t="s">
        <v>32</v>
      </c>
      <c r="E979" t="s">
        <v>39</v>
      </c>
      <c r="F979" t="s">
        <v>17</v>
      </c>
      <c r="G979" s="4">
        <v>5</v>
      </c>
      <c r="H979" t="s">
        <v>34</v>
      </c>
      <c r="I979" s="4">
        <v>1337</v>
      </c>
      <c r="J979" t="s">
        <v>49</v>
      </c>
      <c r="K979" t="s">
        <v>34</v>
      </c>
      <c r="L979" t="s">
        <v>21</v>
      </c>
      <c r="M979" t="s">
        <v>22</v>
      </c>
      <c r="N979">
        <v>5</v>
      </c>
    </row>
    <row r="980" spans="1:14" x14ac:dyDescent="0.25">
      <c r="A980">
        <v>979</v>
      </c>
      <c r="B980">
        <v>29</v>
      </c>
      <c r="C980" t="s">
        <v>23</v>
      </c>
      <c r="D980" t="s">
        <v>15</v>
      </c>
      <c r="E980" t="s">
        <v>16</v>
      </c>
      <c r="F980" t="s">
        <v>45</v>
      </c>
      <c r="G980" s="4">
        <v>6</v>
      </c>
      <c r="H980" t="s">
        <v>40</v>
      </c>
      <c r="I980" s="4">
        <v>1191</v>
      </c>
      <c r="J980" t="s">
        <v>50</v>
      </c>
      <c r="K980" t="s">
        <v>34</v>
      </c>
      <c r="L980" t="s">
        <v>21</v>
      </c>
      <c r="M980" t="s">
        <v>31</v>
      </c>
      <c r="N980">
        <v>2</v>
      </c>
    </row>
    <row r="981" spans="1:14" x14ac:dyDescent="0.25">
      <c r="A981">
        <v>980</v>
      </c>
      <c r="B981">
        <v>36</v>
      </c>
      <c r="C981" t="s">
        <v>29</v>
      </c>
      <c r="D981" t="s">
        <v>36</v>
      </c>
      <c r="E981" t="s">
        <v>16</v>
      </c>
      <c r="F981" t="s">
        <v>33</v>
      </c>
      <c r="G981" s="4">
        <v>6</v>
      </c>
      <c r="H981" t="s">
        <v>40</v>
      </c>
      <c r="I981" s="4">
        <v>2691</v>
      </c>
      <c r="J981" t="s">
        <v>45</v>
      </c>
      <c r="K981" t="s">
        <v>48</v>
      </c>
      <c r="L981" t="s">
        <v>21</v>
      </c>
      <c r="M981" t="s">
        <v>31</v>
      </c>
      <c r="N981">
        <v>2</v>
      </c>
    </row>
    <row r="982" spans="1:14" x14ac:dyDescent="0.25">
      <c r="A982">
        <v>981</v>
      </c>
      <c r="B982">
        <v>39</v>
      </c>
      <c r="C982" t="s">
        <v>29</v>
      </c>
      <c r="D982" t="s">
        <v>32</v>
      </c>
      <c r="E982" t="s">
        <v>16</v>
      </c>
      <c r="F982" t="s">
        <v>45</v>
      </c>
      <c r="G982" s="4">
        <v>21</v>
      </c>
      <c r="H982" t="s">
        <v>46</v>
      </c>
      <c r="I982" s="4">
        <v>2131</v>
      </c>
      <c r="J982" t="s">
        <v>27</v>
      </c>
      <c r="K982" t="s">
        <v>34</v>
      </c>
      <c r="L982" t="s">
        <v>21</v>
      </c>
      <c r="M982" t="s">
        <v>31</v>
      </c>
      <c r="N982">
        <v>4</v>
      </c>
    </row>
    <row r="983" spans="1:14" x14ac:dyDescent="0.25">
      <c r="A983">
        <v>982</v>
      </c>
      <c r="B983">
        <v>25</v>
      </c>
      <c r="C983" t="s">
        <v>23</v>
      </c>
      <c r="D983" t="s">
        <v>15</v>
      </c>
      <c r="E983" t="s">
        <v>39</v>
      </c>
      <c r="F983" t="s">
        <v>17</v>
      </c>
      <c r="G983" s="4">
        <v>19</v>
      </c>
      <c r="H983" t="s">
        <v>26</v>
      </c>
      <c r="I983" s="4">
        <v>1289</v>
      </c>
      <c r="J983" t="s">
        <v>50</v>
      </c>
      <c r="K983" t="s">
        <v>48</v>
      </c>
      <c r="L983" t="s">
        <v>28</v>
      </c>
      <c r="M983" t="s">
        <v>22</v>
      </c>
      <c r="N983">
        <v>1</v>
      </c>
    </row>
    <row r="984" spans="1:14" x14ac:dyDescent="0.25">
      <c r="A984">
        <v>983</v>
      </c>
      <c r="B984">
        <v>29</v>
      </c>
      <c r="C984" t="s">
        <v>14</v>
      </c>
      <c r="D984" t="s">
        <v>32</v>
      </c>
      <c r="E984" t="s">
        <v>39</v>
      </c>
      <c r="F984" t="s">
        <v>25</v>
      </c>
      <c r="G984" s="4">
        <v>25</v>
      </c>
      <c r="H984" t="s">
        <v>37</v>
      </c>
      <c r="I984" s="4">
        <v>1983</v>
      </c>
      <c r="J984" t="s">
        <v>27</v>
      </c>
      <c r="K984" t="s">
        <v>20</v>
      </c>
      <c r="L984" t="s">
        <v>21</v>
      </c>
      <c r="M984" t="s">
        <v>31</v>
      </c>
      <c r="N984">
        <v>5</v>
      </c>
    </row>
    <row r="985" spans="1:14" x14ac:dyDescent="0.25">
      <c r="A985">
        <v>984</v>
      </c>
      <c r="B985">
        <v>27</v>
      </c>
      <c r="C985" t="s">
        <v>14</v>
      </c>
      <c r="D985" t="s">
        <v>32</v>
      </c>
      <c r="E985" t="s">
        <v>39</v>
      </c>
      <c r="F985" t="s">
        <v>45</v>
      </c>
      <c r="G985" s="4">
        <v>15</v>
      </c>
      <c r="H985" t="s">
        <v>37</v>
      </c>
      <c r="I985" s="4">
        <v>1285</v>
      </c>
      <c r="J985" t="s">
        <v>49</v>
      </c>
      <c r="K985" t="s">
        <v>38</v>
      </c>
      <c r="L985" t="s">
        <v>21</v>
      </c>
      <c r="M985" t="s">
        <v>31</v>
      </c>
      <c r="N985">
        <v>1</v>
      </c>
    </row>
    <row r="986" spans="1:14" x14ac:dyDescent="0.25">
      <c r="A986">
        <v>985</v>
      </c>
      <c r="B986">
        <v>18</v>
      </c>
      <c r="C986" t="s">
        <v>29</v>
      </c>
      <c r="D986" t="s">
        <v>36</v>
      </c>
      <c r="E986" t="s">
        <v>24</v>
      </c>
      <c r="F986" t="s">
        <v>42</v>
      </c>
      <c r="G986" s="4">
        <v>10</v>
      </c>
      <c r="H986" t="s">
        <v>18</v>
      </c>
      <c r="I986" s="4">
        <v>494</v>
      </c>
      <c r="J986" t="s">
        <v>44</v>
      </c>
      <c r="K986" t="s">
        <v>48</v>
      </c>
      <c r="L986" t="s">
        <v>28</v>
      </c>
      <c r="M986" t="s">
        <v>22</v>
      </c>
      <c r="N986">
        <v>4</v>
      </c>
    </row>
    <row r="987" spans="1:14" x14ac:dyDescent="0.25">
      <c r="A987">
        <v>986</v>
      </c>
      <c r="B987">
        <v>40</v>
      </c>
      <c r="C987" t="s">
        <v>23</v>
      </c>
      <c r="D987" t="s">
        <v>36</v>
      </c>
      <c r="E987" t="s">
        <v>39</v>
      </c>
      <c r="F987" t="s">
        <v>42</v>
      </c>
      <c r="G987" s="4">
        <v>10</v>
      </c>
      <c r="H987" t="s">
        <v>34</v>
      </c>
      <c r="I987" s="4">
        <v>299</v>
      </c>
      <c r="J987" t="s">
        <v>44</v>
      </c>
      <c r="K987" t="s">
        <v>20</v>
      </c>
      <c r="L987" t="s">
        <v>21</v>
      </c>
      <c r="M987" t="s">
        <v>31</v>
      </c>
      <c r="N987">
        <v>2</v>
      </c>
    </row>
    <row r="988" spans="1:14" x14ac:dyDescent="0.25">
      <c r="A988">
        <v>987</v>
      </c>
      <c r="B988">
        <v>21</v>
      </c>
      <c r="C988" t="s">
        <v>23</v>
      </c>
      <c r="D988" t="s">
        <v>36</v>
      </c>
      <c r="E988" t="s">
        <v>16</v>
      </c>
      <c r="F988" t="s">
        <v>17</v>
      </c>
      <c r="G988" s="4">
        <v>15</v>
      </c>
      <c r="H988" t="s">
        <v>47</v>
      </c>
      <c r="I988" s="4">
        <v>1378</v>
      </c>
      <c r="J988" t="s">
        <v>19</v>
      </c>
      <c r="K988" t="s">
        <v>34</v>
      </c>
      <c r="L988" t="s">
        <v>28</v>
      </c>
      <c r="M988" t="s">
        <v>31</v>
      </c>
      <c r="N988">
        <v>5</v>
      </c>
    </row>
    <row r="989" spans="1:14" x14ac:dyDescent="0.25">
      <c r="A989">
        <v>988</v>
      </c>
      <c r="B989">
        <v>38</v>
      </c>
      <c r="C989" t="s">
        <v>29</v>
      </c>
      <c r="D989" t="s">
        <v>36</v>
      </c>
      <c r="E989" t="s">
        <v>16</v>
      </c>
      <c r="F989" t="s">
        <v>17</v>
      </c>
      <c r="G989" s="4">
        <v>19</v>
      </c>
      <c r="H989" t="s">
        <v>37</v>
      </c>
      <c r="I989" s="4">
        <v>1784</v>
      </c>
      <c r="J989" t="s">
        <v>19</v>
      </c>
      <c r="K989" t="s">
        <v>38</v>
      </c>
      <c r="L989" t="s">
        <v>21</v>
      </c>
      <c r="M989" t="s">
        <v>31</v>
      </c>
      <c r="N989">
        <v>3</v>
      </c>
    </row>
    <row r="990" spans="1:14" x14ac:dyDescent="0.25">
      <c r="A990">
        <v>989</v>
      </c>
      <c r="B990">
        <v>39</v>
      </c>
      <c r="C990" t="s">
        <v>29</v>
      </c>
      <c r="D990" t="s">
        <v>32</v>
      </c>
      <c r="E990" t="s">
        <v>16</v>
      </c>
      <c r="F990" t="s">
        <v>45</v>
      </c>
      <c r="G990" s="4">
        <v>25</v>
      </c>
      <c r="H990" t="s">
        <v>46</v>
      </c>
      <c r="I990" s="4">
        <v>1857</v>
      </c>
      <c r="J990" t="s">
        <v>19</v>
      </c>
      <c r="K990" t="s">
        <v>38</v>
      </c>
      <c r="L990" t="s">
        <v>28</v>
      </c>
      <c r="M990" t="s">
        <v>31</v>
      </c>
      <c r="N990">
        <v>4</v>
      </c>
    </row>
    <row r="991" spans="1:14" x14ac:dyDescent="0.25">
      <c r="A991">
        <v>990</v>
      </c>
      <c r="B991">
        <v>28</v>
      </c>
      <c r="C991" t="s">
        <v>23</v>
      </c>
      <c r="D991" t="s">
        <v>36</v>
      </c>
      <c r="E991" t="s">
        <v>24</v>
      </c>
      <c r="F991" t="s">
        <v>42</v>
      </c>
      <c r="G991" s="4">
        <v>6</v>
      </c>
      <c r="H991" t="s">
        <v>46</v>
      </c>
      <c r="I991" s="4">
        <v>2310</v>
      </c>
      <c r="J991" t="s">
        <v>50</v>
      </c>
      <c r="K991" t="s">
        <v>20</v>
      </c>
      <c r="L991" t="s">
        <v>28</v>
      </c>
      <c r="M991" t="s">
        <v>22</v>
      </c>
      <c r="N991">
        <v>5</v>
      </c>
    </row>
    <row r="992" spans="1:14" x14ac:dyDescent="0.25">
      <c r="A992">
        <v>991</v>
      </c>
      <c r="B992">
        <v>22</v>
      </c>
      <c r="C992" t="s">
        <v>29</v>
      </c>
      <c r="D992" t="s">
        <v>36</v>
      </c>
      <c r="E992" t="s">
        <v>39</v>
      </c>
      <c r="F992" t="s">
        <v>45</v>
      </c>
      <c r="G992" s="4">
        <v>6</v>
      </c>
      <c r="H992" t="s">
        <v>34</v>
      </c>
      <c r="I992" s="4">
        <v>2994</v>
      </c>
      <c r="J992" t="s">
        <v>19</v>
      </c>
      <c r="K992" t="s">
        <v>34</v>
      </c>
      <c r="L992" t="s">
        <v>28</v>
      </c>
      <c r="M992" t="s">
        <v>22</v>
      </c>
      <c r="N992">
        <v>2</v>
      </c>
    </row>
    <row r="993" spans="1:14" x14ac:dyDescent="0.25">
      <c r="A993">
        <v>992</v>
      </c>
      <c r="B993">
        <v>21</v>
      </c>
      <c r="C993" t="s">
        <v>29</v>
      </c>
      <c r="D993" t="s">
        <v>15</v>
      </c>
      <c r="E993" t="s">
        <v>16</v>
      </c>
      <c r="F993" t="s">
        <v>30</v>
      </c>
      <c r="G993" s="4">
        <v>14</v>
      </c>
      <c r="H993" t="s">
        <v>46</v>
      </c>
      <c r="I993" s="4">
        <v>1121</v>
      </c>
      <c r="J993" t="s">
        <v>19</v>
      </c>
      <c r="K993" t="s">
        <v>38</v>
      </c>
      <c r="L993" t="s">
        <v>28</v>
      </c>
      <c r="M993" t="s">
        <v>22</v>
      </c>
      <c r="N993">
        <v>4</v>
      </c>
    </row>
    <row r="994" spans="1:14" x14ac:dyDescent="0.25">
      <c r="A994">
        <v>993</v>
      </c>
      <c r="B994">
        <v>21</v>
      </c>
      <c r="C994" t="s">
        <v>14</v>
      </c>
      <c r="D994" t="s">
        <v>15</v>
      </c>
      <c r="E994" t="s">
        <v>24</v>
      </c>
      <c r="F994" t="s">
        <v>33</v>
      </c>
      <c r="G994" s="4">
        <v>11</v>
      </c>
      <c r="H994" t="s">
        <v>40</v>
      </c>
      <c r="I994" s="4">
        <v>2261</v>
      </c>
      <c r="J994" t="s">
        <v>41</v>
      </c>
      <c r="K994" t="s">
        <v>20</v>
      </c>
      <c r="L994" t="s">
        <v>21</v>
      </c>
      <c r="M994" t="s">
        <v>31</v>
      </c>
      <c r="N994">
        <v>5</v>
      </c>
    </row>
    <row r="995" spans="1:14" x14ac:dyDescent="0.25">
      <c r="A995">
        <v>994</v>
      </c>
      <c r="B995">
        <v>24</v>
      </c>
      <c r="C995" t="s">
        <v>23</v>
      </c>
      <c r="D995" t="s">
        <v>32</v>
      </c>
      <c r="E995" t="s">
        <v>24</v>
      </c>
      <c r="F995" t="s">
        <v>25</v>
      </c>
      <c r="G995" s="4">
        <v>14</v>
      </c>
      <c r="H995" t="s">
        <v>43</v>
      </c>
      <c r="I995" s="4">
        <v>2339</v>
      </c>
      <c r="J995" t="s">
        <v>35</v>
      </c>
      <c r="K995" t="s">
        <v>48</v>
      </c>
      <c r="L995" t="s">
        <v>21</v>
      </c>
      <c r="M995" t="s">
        <v>31</v>
      </c>
      <c r="N995">
        <v>4</v>
      </c>
    </row>
    <row r="996" spans="1:14" x14ac:dyDescent="0.25">
      <c r="A996">
        <v>995</v>
      </c>
      <c r="B996">
        <v>31</v>
      </c>
      <c r="C996" t="s">
        <v>14</v>
      </c>
      <c r="D996" t="s">
        <v>32</v>
      </c>
      <c r="E996" t="s">
        <v>24</v>
      </c>
      <c r="F996" t="s">
        <v>17</v>
      </c>
      <c r="G996" s="4">
        <v>20</v>
      </c>
      <c r="H996" t="s">
        <v>18</v>
      </c>
      <c r="I996" s="4">
        <v>1077</v>
      </c>
      <c r="J996" t="s">
        <v>50</v>
      </c>
      <c r="K996" t="s">
        <v>48</v>
      </c>
      <c r="L996" t="s">
        <v>21</v>
      </c>
      <c r="M996" t="s">
        <v>22</v>
      </c>
      <c r="N996">
        <v>1</v>
      </c>
    </row>
    <row r="997" spans="1:14" x14ac:dyDescent="0.25">
      <c r="A997">
        <v>996</v>
      </c>
      <c r="B997">
        <v>28</v>
      </c>
      <c r="C997" t="s">
        <v>29</v>
      </c>
      <c r="D997" t="s">
        <v>32</v>
      </c>
      <c r="E997" t="s">
        <v>24</v>
      </c>
      <c r="F997" t="s">
        <v>17</v>
      </c>
      <c r="G997" s="4">
        <v>10</v>
      </c>
      <c r="H997" t="s">
        <v>18</v>
      </c>
      <c r="I997" s="4">
        <v>2076</v>
      </c>
      <c r="J997" t="s">
        <v>50</v>
      </c>
      <c r="K997" t="s">
        <v>48</v>
      </c>
      <c r="L997" t="s">
        <v>28</v>
      </c>
      <c r="M997" t="s">
        <v>22</v>
      </c>
      <c r="N997">
        <v>3</v>
      </c>
    </row>
    <row r="998" spans="1:14" x14ac:dyDescent="0.25">
      <c r="A998">
        <v>997</v>
      </c>
      <c r="B998">
        <v>40</v>
      </c>
      <c r="C998" t="s">
        <v>14</v>
      </c>
      <c r="D998" t="s">
        <v>36</v>
      </c>
      <c r="E998" t="s">
        <v>24</v>
      </c>
      <c r="F998" t="s">
        <v>17</v>
      </c>
      <c r="G998" s="4">
        <v>30</v>
      </c>
      <c r="H998" t="s">
        <v>47</v>
      </c>
      <c r="I998" s="4">
        <v>2135</v>
      </c>
      <c r="J998" t="s">
        <v>41</v>
      </c>
      <c r="K998" t="s">
        <v>38</v>
      </c>
      <c r="L998" t="s">
        <v>21</v>
      </c>
      <c r="M998" t="s">
        <v>31</v>
      </c>
      <c r="N998">
        <v>3</v>
      </c>
    </row>
    <row r="999" spans="1:14" x14ac:dyDescent="0.25">
      <c r="A999">
        <v>998</v>
      </c>
      <c r="B999">
        <v>25</v>
      </c>
      <c r="C999" t="s">
        <v>29</v>
      </c>
      <c r="D999" t="s">
        <v>15</v>
      </c>
      <c r="E999" t="s">
        <v>39</v>
      </c>
      <c r="F999" t="s">
        <v>25</v>
      </c>
      <c r="G999" s="4">
        <v>26</v>
      </c>
      <c r="H999" t="s">
        <v>43</v>
      </c>
      <c r="I999" s="4">
        <v>801</v>
      </c>
      <c r="J999" t="s">
        <v>35</v>
      </c>
      <c r="K999" t="s">
        <v>38</v>
      </c>
      <c r="L999" t="s">
        <v>21</v>
      </c>
      <c r="M999" t="s">
        <v>22</v>
      </c>
      <c r="N999">
        <v>3</v>
      </c>
    </row>
    <row r="1000" spans="1:14" x14ac:dyDescent="0.25">
      <c r="A1000">
        <v>999</v>
      </c>
      <c r="B1000">
        <v>34</v>
      </c>
      <c r="C1000" t="s">
        <v>29</v>
      </c>
      <c r="D1000" t="s">
        <v>15</v>
      </c>
      <c r="E1000" t="s">
        <v>39</v>
      </c>
      <c r="F1000" t="s">
        <v>45</v>
      </c>
      <c r="G1000" s="4">
        <v>28</v>
      </c>
      <c r="H1000" t="s">
        <v>40</v>
      </c>
      <c r="I1000" s="4">
        <v>877</v>
      </c>
      <c r="J1000" t="s">
        <v>44</v>
      </c>
      <c r="K1000" t="s">
        <v>48</v>
      </c>
      <c r="L1000" t="s">
        <v>28</v>
      </c>
      <c r="M1000" t="s">
        <v>31</v>
      </c>
      <c r="N1000">
        <v>1</v>
      </c>
    </row>
    <row r="1001" spans="1:14" x14ac:dyDescent="0.25">
      <c r="A1001">
        <v>1000</v>
      </c>
      <c r="B1001">
        <v>37</v>
      </c>
      <c r="C1001" t="s">
        <v>14</v>
      </c>
      <c r="D1001" t="s">
        <v>36</v>
      </c>
      <c r="E1001" t="s">
        <v>39</v>
      </c>
      <c r="F1001" t="s">
        <v>42</v>
      </c>
      <c r="G1001" s="4">
        <v>17</v>
      </c>
      <c r="H1001" t="s">
        <v>37</v>
      </c>
      <c r="I1001" s="4">
        <v>2584</v>
      </c>
      <c r="J1001" t="s">
        <v>35</v>
      </c>
      <c r="K1001" t="s">
        <v>38</v>
      </c>
      <c r="L1001" t="s">
        <v>28</v>
      </c>
      <c r="M1001" t="s">
        <v>31</v>
      </c>
      <c r="N1001">
        <v>5</v>
      </c>
    </row>
  </sheetData>
  <autoFilter ref="G1:G1001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4B27-0469-4808-8787-12C4B497DAA9}">
  <dimension ref="A3:B30"/>
  <sheetViews>
    <sheetView workbookViewId="0">
      <selection activeCell="B10" sqref="B10"/>
    </sheetView>
  </sheetViews>
  <sheetFormatPr defaultRowHeight="15" x14ac:dyDescent="0.25"/>
  <cols>
    <col min="1" max="1" width="20.5703125" bestFit="1" customWidth="1"/>
    <col min="2" max="2" width="27.140625" bestFit="1" customWidth="1"/>
    <col min="3" max="3" width="1.85546875" bestFit="1" customWidth="1"/>
    <col min="4" max="26" width="2.85546875" bestFit="1" customWidth="1"/>
    <col min="27" max="272" width="3.85546875" bestFit="1" customWidth="1"/>
    <col min="273" max="844" width="4.85546875" bestFit="1" customWidth="1"/>
    <col min="845" max="845" width="10.7109375" bestFit="1" customWidth="1"/>
    <col min="846" max="855" width="3.85546875" bestFit="1" customWidth="1"/>
    <col min="856" max="886" width="4.85546875" bestFit="1" customWidth="1"/>
    <col min="887" max="887" width="7.5703125" bestFit="1" customWidth="1"/>
    <col min="888" max="888" width="4.5703125" bestFit="1" customWidth="1"/>
    <col min="889" max="895" width="3.85546875" bestFit="1" customWidth="1"/>
    <col min="896" max="923" width="4.85546875" bestFit="1" customWidth="1"/>
    <col min="924" max="924" width="7.5703125" bestFit="1" customWidth="1"/>
    <col min="925" max="925" width="4.5703125" bestFit="1" customWidth="1"/>
    <col min="926" max="934" width="3.85546875" bestFit="1" customWidth="1"/>
    <col min="935" max="958" width="4.85546875" bestFit="1" customWidth="1"/>
    <col min="959" max="959" width="7.5703125" bestFit="1" customWidth="1"/>
    <col min="960" max="960" width="4.5703125" bestFit="1" customWidth="1"/>
    <col min="961" max="968" width="3.85546875" bestFit="1" customWidth="1"/>
    <col min="969" max="991" width="4.85546875" bestFit="1" customWidth="1"/>
    <col min="992" max="992" width="7.5703125" bestFit="1" customWidth="1"/>
    <col min="993" max="993" width="4.5703125" bestFit="1" customWidth="1"/>
    <col min="994" max="994" width="2.85546875" bestFit="1" customWidth="1"/>
    <col min="995" max="1000" width="3.85546875" bestFit="1" customWidth="1"/>
    <col min="1001" max="1021" width="4.85546875" bestFit="1" customWidth="1"/>
    <col min="1022" max="1022" width="7.5703125" bestFit="1" customWidth="1"/>
    <col min="1023" max="1023" width="10.7109375" bestFit="1" customWidth="1"/>
  </cols>
  <sheetData>
    <row r="3" spans="1:2" x14ac:dyDescent="0.25">
      <c r="A3" s="5" t="s">
        <v>60</v>
      </c>
      <c r="B3" s="7" t="s">
        <v>84</v>
      </c>
    </row>
    <row r="4" spans="1:2" x14ac:dyDescent="0.25">
      <c r="A4" s="6">
        <v>5</v>
      </c>
      <c r="B4" s="7">
        <v>45676</v>
      </c>
    </row>
    <row r="5" spans="1:2" x14ac:dyDescent="0.25">
      <c r="A5" s="6">
        <v>6</v>
      </c>
      <c r="B5" s="7">
        <v>67805</v>
      </c>
    </row>
    <row r="6" spans="1:2" x14ac:dyDescent="0.25">
      <c r="A6" s="6">
        <v>7</v>
      </c>
      <c r="B6" s="7">
        <v>49296</v>
      </c>
    </row>
    <row r="7" spans="1:2" x14ac:dyDescent="0.25">
      <c r="A7" s="6">
        <v>8</v>
      </c>
      <c r="B7" s="7">
        <v>60167</v>
      </c>
    </row>
    <row r="8" spans="1:2" x14ac:dyDescent="0.25">
      <c r="A8" s="6">
        <v>9</v>
      </c>
      <c r="B8" s="7">
        <v>72258</v>
      </c>
    </row>
    <row r="9" spans="1:2" x14ac:dyDescent="0.25">
      <c r="A9" s="6">
        <v>10</v>
      </c>
      <c r="B9" s="7">
        <v>52154</v>
      </c>
    </row>
    <row r="10" spans="1:2" x14ac:dyDescent="0.25">
      <c r="A10" s="6">
        <v>11</v>
      </c>
      <c r="B10" s="7">
        <v>58858</v>
      </c>
    </row>
    <row r="11" spans="1:2" x14ac:dyDescent="0.25">
      <c r="A11" s="6">
        <v>12</v>
      </c>
      <c r="B11" s="7">
        <v>60165</v>
      </c>
    </row>
    <row r="12" spans="1:2" x14ac:dyDescent="0.25">
      <c r="A12" s="6">
        <v>13</v>
      </c>
      <c r="B12" s="7">
        <v>44288</v>
      </c>
    </row>
    <row r="13" spans="1:2" x14ac:dyDescent="0.25">
      <c r="A13" s="6">
        <v>14</v>
      </c>
      <c r="B13" s="7">
        <v>46521</v>
      </c>
    </row>
    <row r="14" spans="1:2" x14ac:dyDescent="0.25">
      <c r="A14" s="6">
        <v>15</v>
      </c>
      <c r="B14" s="7">
        <v>67557</v>
      </c>
    </row>
    <row r="15" spans="1:2" x14ac:dyDescent="0.25">
      <c r="A15" s="6">
        <v>16</v>
      </c>
      <c r="B15" s="7">
        <v>41247</v>
      </c>
    </row>
    <row r="16" spans="1:2" x14ac:dyDescent="0.25">
      <c r="A16" s="6">
        <v>17</v>
      </c>
      <c r="B16" s="7">
        <v>84287</v>
      </c>
    </row>
    <row r="17" spans="1:2" x14ac:dyDescent="0.25">
      <c r="A17" s="6">
        <v>18</v>
      </c>
      <c r="B17" s="7">
        <v>72006</v>
      </c>
    </row>
    <row r="18" spans="1:2" x14ac:dyDescent="0.25">
      <c r="A18" s="6">
        <v>19</v>
      </c>
      <c r="B18" s="7">
        <v>58050</v>
      </c>
    </row>
    <row r="19" spans="1:2" x14ac:dyDescent="0.25">
      <c r="A19" s="6">
        <v>20</v>
      </c>
      <c r="B19" s="7">
        <v>56554</v>
      </c>
    </row>
    <row r="20" spans="1:2" x14ac:dyDescent="0.25">
      <c r="A20" s="6">
        <v>21</v>
      </c>
      <c r="B20" s="7">
        <v>60706</v>
      </c>
    </row>
    <row r="21" spans="1:2" x14ac:dyDescent="0.25">
      <c r="A21" s="6">
        <v>22</v>
      </c>
      <c r="B21" s="7">
        <v>66057</v>
      </c>
    </row>
    <row r="22" spans="1:2" x14ac:dyDescent="0.25">
      <c r="A22" s="6">
        <v>23</v>
      </c>
      <c r="B22" s="7">
        <v>71385</v>
      </c>
    </row>
    <row r="23" spans="1:2" x14ac:dyDescent="0.25">
      <c r="A23" s="6">
        <v>24</v>
      </c>
      <c r="B23" s="7">
        <v>54931</v>
      </c>
    </row>
    <row r="24" spans="1:2" x14ac:dyDescent="0.25">
      <c r="A24" s="6">
        <v>25</v>
      </c>
      <c r="B24" s="7">
        <v>64785</v>
      </c>
    </row>
    <row r="25" spans="1:2" x14ac:dyDescent="0.25">
      <c r="A25" s="6">
        <v>26</v>
      </c>
      <c r="B25" s="7">
        <v>70129</v>
      </c>
    </row>
    <row r="26" spans="1:2" x14ac:dyDescent="0.25">
      <c r="A26" s="6">
        <v>27</v>
      </c>
      <c r="B26" s="7">
        <v>59873</v>
      </c>
    </row>
    <row r="27" spans="1:2" x14ac:dyDescent="0.25">
      <c r="A27" s="6">
        <v>28</v>
      </c>
      <c r="B27" s="7">
        <v>52871</v>
      </c>
    </row>
    <row r="28" spans="1:2" x14ac:dyDescent="0.25">
      <c r="A28" s="6">
        <v>29</v>
      </c>
      <c r="B28" s="7">
        <v>47653</v>
      </c>
    </row>
    <row r="29" spans="1:2" x14ac:dyDescent="0.25">
      <c r="A29" s="6">
        <v>30</v>
      </c>
      <c r="B29" s="7">
        <v>53106</v>
      </c>
    </row>
    <row r="30" spans="1:2" x14ac:dyDescent="0.25">
      <c r="A30" s="7" t="s">
        <v>52</v>
      </c>
      <c r="B30" s="7">
        <v>1538385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EBAF-2566-4249-A906-E58436181EAF}">
  <dimension ref="A3:ALP183"/>
  <sheetViews>
    <sheetView tabSelected="1" topLeftCell="A172" workbookViewId="0">
      <selection activeCell="A179" sqref="A179:B183"/>
    </sheetView>
  </sheetViews>
  <sheetFormatPr defaultRowHeight="15" x14ac:dyDescent="0.25"/>
  <cols>
    <col min="1" max="1" width="29.140625" bestFit="1" customWidth="1"/>
    <col min="2" max="2" width="19.140625" customWidth="1"/>
    <col min="3" max="3" width="8.28515625" bestFit="1" customWidth="1"/>
    <col min="4" max="5" width="6.7109375" bestFit="1" customWidth="1"/>
    <col min="6" max="6" width="6" bestFit="1" customWidth="1"/>
    <col min="7" max="7" width="9.140625" bestFit="1" customWidth="1"/>
    <col min="8" max="8" width="6.5703125" bestFit="1" customWidth="1"/>
    <col min="9" max="9" width="7.42578125" bestFit="1" customWidth="1"/>
    <col min="10" max="10" width="11.28515625" bestFit="1" customWidth="1"/>
  </cols>
  <sheetData>
    <row r="3" spans="1:2" x14ac:dyDescent="0.25">
      <c r="A3" t="s">
        <v>54</v>
      </c>
    </row>
    <row r="4" spans="1:2" x14ac:dyDescent="0.25">
      <c r="A4" s="5" t="s">
        <v>61</v>
      </c>
      <c r="B4" s="3" t="s">
        <v>53</v>
      </c>
    </row>
    <row r="5" spans="1:2" x14ac:dyDescent="0.25">
      <c r="A5" s="6" t="s">
        <v>45</v>
      </c>
      <c r="B5" s="7">
        <v>181</v>
      </c>
    </row>
    <row r="6" spans="1:2" x14ac:dyDescent="0.25">
      <c r="A6" s="6" t="s">
        <v>42</v>
      </c>
      <c r="B6" s="7">
        <v>167</v>
      </c>
    </row>
    <row r="7" spans="1:2" x14ac:dyDescent="0.25">
      <c r="A7" s="6" t="s">
        <v>17</v>
      </c>
      <c r="B7" s="7">
        <v>167</v>
      </c>
    </row>
    <row r="8" spans="1:2" x14ac:dyDescent="0.25">
      <c r="A8" s="6" t="s">
        <v>33</v>
      </c>
      <c r="B8" s="7">
        <v>165</v>
      </c>
    </row>
    <row r="9" spans="1:2" x14ac:dyDescent="0.25">
      <c r="A9" s="6" t="s">
        <v>30</v>
      </c>
      <c r="B9" s="7">
        <v>162</v>
      </c>
    </row>
    <row r="10" spans="1:2" x14ac:dyDescent="0.25">
      <c r="A10" s="6" t="s">
        <v>25</v>
      </c>
      <c r="B10" s="7">
        <v>158</v>
      </c>
    </row>
    <row r="11" spans="1:2" x14ac:dyDescent="0.25">
      <c r="A11" s="6" t="s">
        <v>52</v>
      </c>
      <c r="B11" s="7">
        <v>1000</v>
      </c>
    </row>
    <row r="18" spans="1:1004" x14ac:dyDescent="0.25">
      <c r="A18" s="9" t="s">
        <v>62</v>
      </c>
      <c r="D18" s="3" t="s">
        <v>6</v>
      </c>
      <c r="E18" s="3">
        <v>8</v>
      </c>
      <c r="F18" s="3">
        <v>11</v>
      </c>
      <c r="G18" s="3">
        <v>27</v>
      </c>
      <c r="H18" s="3">
        <v>24</v>
      </c>
      <c r="I18" s="3">
        <v>7</v>
      </c>
      <c r="J18" s="3">
        <v>16</v>
      </c>
      <c r="K18" s="3">
        <v>25</v>
      </c>
      <c r="L18" s="3">
        <v>11</v>
      </c>
      <c r="M18" s="3">
        <v>22</v>
      </c>
      <c r="N18" s="3">
        <v>9</v>
      </c>
      <c r="O18" s="3">
        <v>28</v>
      </c>
      <c r="P18" s="3">
        <v>21</v>
      </c>
      <c r="Q18" s="3">
        <v>15</v>
      </c>
      <c r="R18" s="3">
        <v>29</v>
      </c>
      <c r="S18" s="3">
        <v>14</v>
      </c>
      <c r="T18" s="3">
        <v>22</v>
      </c>
      <c r="U18" s="3">
        <v>21</v>
      </c>
      <c r="V18" s="3">
        <v>8</v>
      </c>
      <c r="W18" s="3">
        <v>12</v>
      </c>
      <c r="X18" s="3">
        <v>30</v>
      </c>
      <c r="Y18" s="3">
        <v>11</v>
      </c>
      <c r="Z18" s="3">
        <v>11</v>
      </c>
      <c r="AA18" s="3">
        <v>21</v>
      </c>
      <c r="AB18" s="3">
        <v>24</v>
      </c>
      <c r="AC18" s="3">
        <v>17</v>
      </c>
      <c r="AD18" s="3">
        <v>16</v>
      </c>
      <c r="AE18" s="3">
        <v>8</v>
      </c>
      <c r="AF18" s="3">
        <v>6</v>
      </c>
      <c r="AG18" s="3">
        <v>5</v>
      </c>
      <c r="AH18" s="3">
        <v>16</v>
      </c>
      <c r="AI18" s="3">
        <v>30</v>
      </c>
      <c r="AJ18" s="3">
        <v>6</v>
      </c>
      <c r="AK18" s="3">
        <v>13</v>
      </c>
      <c r="AL18" s="3">
        <v>13</v>
      </c>
      <c r="AM18" s="3">
        <v>6</v>
      </c>
      <c r="AN18" s="3">
        <v>15</v>
      </c>
      <c r="AO18" s="3">
        <v>18</v>
      </c>
      <c r="AP18" s="3">
        <v>18</v>
      </c>
      <c r="AQ18" s="3">
        <v>21</v>
      </c>
      <c r="AR18" s="3">
        <v>12</v>
      </c>
      <c r="AS18" s="3">
        <v>25</v>
      </c>
      <c r="AT18" s="3">
        <v>30</v>
      </c>
      <c r="AU18" s="3">
        <v>29</v>
      </c>
      <c r="AV18" s="3">
        <v>15</v>
      </c>
      <c r="AW18" s="3">
        <v>15</v>
      </c>
      <c r="AX18" s="3">
        <v>14</v>
      </c>
      <c r="AY18" s="3">
        <v>5</v>
      </c>
      <c r="AZ18" s="3">
        <v>23</v>
      </c>
      <c r="BA18" s="3">
        <v>11</v>
      </c>
      <c r="BB18" s="3">
        <v>12</v>
      </c>
      <c r="BC18" s="3">
        <v>26</v>
      </c>
      <c r="BD18" s="3">
        <v>23</v>
      </c>
      <c r="BE18" s="3">
        <v>24</v>
      </c>
      <c r="BF18" s="3">
        <v>8</v>
      </c>
      <c r="BG18" s="3">
        <v>28</v>
      </c>
      <c r="BH18" s="3">
        <v>20</v>
      </c>
      <c r="BI18" s="3">
        <v>12</v>
      </c>
      <c r="BJ18" s="3">
        <v>12</v>
      </c>
      <c r="BK18" s="3">
        <v>19</v>
      </c>
      <c r="BL18" s="3">
        <v>28</v>
      </c>
      <c r="BM18" s="3">
        <v>10</v>
      </c>
      <c r="BN18" s="3">
        <v>5</v>
      </c>
      <c r="BO18" s="3">
        <v>17</v>
      </c>
      <c r="BP18" s="3">
        <v>22</v>
      </c>
      <c r="BQ18" s="3">
        <v>23</v>
      </c>
      <c r="BR18" s="3">
        <v>22</v>
      </c>
      <c r="BS18" s="3">
        <v>14</v>
      </c>
      <c r="BT18" s="3">
        <v>9</v>
      </c>
      <c r="BU18" s="3">
        <v>17</v>
      </c>
      <c r="BV18" s="3">
        <v>12</v>
      </c>
      <c r="BW18" s="3">
        <v>23</v>
      </c>
      <c r="BX18" s="3">
        <v>27</v>
      </c>
      <c r="BY18" s="3">
        <v>29</v>
      </c>
      <c r="BZ18" s="3">
        <v>19</v>
      </c>
      <c r="CA18" s="3">
        <v>10</v>
      </c>
      <c r="CB18" s="3">
        <v>27</v>
      </c>
      <c r="CC18" s="3">
        <v>24</v>
      </c>
      <c r="CD18" s="3">
        <v>19</v>
      </c>
      <c r="CE18" s="3">
        <v>17</v>
      </c>
      <c r="CF18" s="3">
        <v>21</v>
      </c>
      <c r="CG18" s="3">
        <v>20</v>
      </c>
      <c r="CH18" s="3">
        <v>6</v>
      </c>
      <c r="CI18" s="3">
        <v>10</v>
      </c>
      <c r="CJ18" s="3">
        <v>21</v>
      </c>
      <c r="CK18" s="3">
        <v>19</v>
      </c>
      <c r="CL18" s="3">
        <v>23</v>
      </c>
      <c r="CM18" s="3">
        <v>23</v>
      </c>
      <c r="CN18" s="3">
        <v>29</v>
      </c>
      <c r="CO18" s="3">
        <v>6</v>
      </c>
      <c r="CP18" s="3">
        <v>16</v>
      </c>
      <c r="CQ18" s="3">
        <v>29</v>
      </c>
      <c r="CR18" s="3">
        <v>28</v>
      </c>
      <c r="CS18" s="3">
        <v>12</v>
      </c>
      <c r="CT18" s="3">
        <v>20</v>
      </c>
      <c r="CU18" s="3">
        <v>8</v>
      </c>
      <c r="CV18" s="3">
        <v>8</v>
      </c>
      <c r="CW18" s="3">
        <v>26</v>
      </c>
      <c r="CX18" s="3">
        <v>15</v>
      </c>
      <c r="CY18" s="3">
        <v>16</v>
      </c>
      <c r="CZ18" s="3">
        <v>19</v>
      </c>
      <c r="DA18" s="3">
        <v>20</v>
      </c>
      <c r="DB18" s="3">
        <v>9</v>
      </c>
      <c r="DC18" s="3">
        <v>30</v>
      </c>
      <c r="DD18" s="3">
        <v>19</v>
      </c>
      <c r="DE18" s="3">
        <v>7</v>
      </c>
      <c r="DF18" s="3">
        <v>16</v>
      </c>
      <c r="DG18" s="3">
        <v>20</v>
      </c>
      <c r="DH18" s="3">
        <v>10</v>
      </c>
      <c r="DI18" s="3">
        <v>28</v>
      </c>
      <c r="DJ18" s="3">
        <v>9</v>
      </c>
      <c r="DK18" s="3">
        <v>11</v>
      </c>
      <c r="DL18" s="3">
        <v>6</v>
      </c>
      <c r="DM18" s="3">
        <v>10</v>
      </c>
      <c r="DN18" s="3">
        <v>19</v>
      </c>
      <c r="DO18" s="3">
        <v>10</v>
      </c>
      <c r="DP18" s="3">
        <v>14</v>
      </c>
      <c r="DQ18" s="3">
        <v>8</v>
      </c>
      <c r="DR18" s="3">
        <v>23</v>
      </c>
      <c r="DS18" s="3">
        <v>23</v>
      </c>
      <c r="DT18" s="3">
        <v>25</v>
      </c>
      <c r="DU18" s="3">
        <v>9</v>
      </c>
      <c r="DV18" s="3">
        <v>21</v>
      </c>
      <c r="DW18" s="3">
        <v>8</v>
      </c>
      <c r="DX18" s="3">
        <v>25</v>
      </c>
      <c r="DY18" s="3">
        <v>26</v>
      </c>
      <c r="DZ18" s="3">
        <v>9</v>
      </c>
      <c r="EA18" s="3">
        <v>10</v>
      </c>
      <c r="EB18" s="3">
        <v>12</v>
      </c>
      <c r="EC18" s="3">
        <v>11</v>
      </c>
      <c r="ED18" s="3">
        <v>13</v>
      </c>
      <c r="EE18" s="3">
        <v>21</v>
      </c>
      <c r="EF18" s="3">
        <v>6</v>
      </c>
      <c r="EG18" s="3">
        <v>9</v>
      </c>
      <c r="EH18" s="3">
        <v>25</v>
      </c>
      <c r="EI18" s="3">
        <v>24</v>
      </c>
      <c r="EJ18" s="3">
        <v>6</v>
      </c>
      <c r="EK18" s="3">
        <v>28</v>
      </c>
      <c r="EL18" s="3">
        <v>27</v>
      </c>
      <c r="EM18" s="3">
        <v>6</v>
      </c>
      <c r="EN18" s="3">
        <v>28</v>
      </c>
      <c r="EO18" s="3">
        <v>18</v>
      </c>
      <c r="EP18" s="3">
        <v>27</v>
      </c>
      <c r="EQ18" s="3">
        <v>26</v>
      </c>
      <c r="ER18" s="3">
        <v>7</v>
      </c>
      <c r="ES18" s="3">
        <v>23</v>
      </c>
      <c r="ET18" s="3">
        <v>21</v>
      </c>
      <c r="EU18" s="3">
        <v>9</v>
      </c>
      <c r="EV18" s="3">
        <v>27</v>
      </c>
      <c r="EW18" s="3">
        <v>22</v>
      </c>
      <c r="EX18" s="3">
        <v>18</v>
      </c>
      <c r="EY18" s="3">
        <v>25</v>
      </c>
      <c r="EZ18" s="3">
        <v>27</v>
      </c>
      <c r="FA18" s="3">
        <v>25</v>
      </c>
      <c r="FB18" s="3">
        <v>29</v>
      </c>
      <c r="FC18" s="3">
        <v>30</v>
      </c>
      <c r="FD18" s="3">
        <v>11</v>
      </c>
      <c r="FE18" s="3">
        <v>12</v>
      </c>
      <c r="FF18" s="3">
        <v>10</v>
      </c>
      <c r="FG18" s="3">
        <v>7</v>
      </c>
      <c r="FH18" s="3">
        <v>25</v>
      </c>
      <c r="FI18" s="3">
        <v>6</v>
      </c>
      <c r="FJ18" s="3">
        <v>26</v>
      </c>
      <c r="FK18" s="3">
        <v>6</v>
      </c>
      <c r="FL18" s="3">
        <v>17</v>
      </c>
      <c r="FM18" s="3">
        <v>26</v>
      </c>
      <c r="FN18" s="3">
        <v>20</v>
      </c>
      <c r="FO18" s="3">
        <v>19</v>
      </c>
      <c r="FP18" s="3">
        <v>15</v>
      </c>
      <c r="FQ18" s="3">
        <v>12</v>
      </c>
      <c r="FR18" s="3">
        <v>30</v>
      </c>
      <c r="FS18" s="3">
        <v>14</v>
      </c>
      <c r="FT18" s="3">
        <v>8</v>
      </c>
      <c r="FU18" s="3">
        <v>27</v>
      </c>
      <c r="FV18" s="3">
        <v>15</v>
      </c>
      <c r="FW18" s="3">
        <v>30</v>
      </c>
      <c r="FX18" s="3">
        <v>22</v>
      </c>
      <c r="FY18" s="3">
        <v>13</v>
      </c>
      <c r="FZ18" s="3">
        <v>17</v>
      </c>
      <c r="GA18" s="3">
        <v>29</v>
      </c>
      <c r="GB18" s="3">
        <v>8</v>
      </c>
      <c r="GC18" s="3">
        <v>9</v>
      </c>
      <c r="GD18" s="3">
        <v>19</v>
      </c>
      <c r="GE18" s="3">
        <v>26</v>
      </c>
      <c r="GF18" s="3">
        <v>6</v>
      </c>
      <c r="GG18" s="3">
        <v>18</v>
      </c>
      <c r="GH18" s="3">
        <v>28</v>
      </c>
      <c r="GI18" s="3">
        <v>22</v>
      </c>
      <c r="GJ18" s="3">
        <v>12</v>
      </c>
      <c r="GK18" s="3">
        <v>7</v>
      </c>
      <c r="GL18" s="3">
        <v>22</v>
      </c>
      <c r="GM18" s="3">
        <v>21</v>
      </c>
      <c r="GN18" s="3">
        <v>26</v>
      </c>
      <c r="GO18" s="3">
        <v>12</v>
      </c>
      <c r="GP18" s="3">
        <v>15</v>
      </c>
      <c r="GQ18" s="3">
        <v>11</v>
      </c>
      <c r="GR18" s="3">
        <v>12</v>
      </c>
      <c r="GS18" s="3">
        <v>13</v>
      </c>
      <c r="GT18" s="3">
        <v>6</v>
      </c>
      <c r="GU18" s="3">
        <v>17</v>
      </c>
      <c r="GV18" s="3">
        <v>28</v>
      </c>
      <c r="GW18" s="3">
        <v>18</v>
      </c>
      <c r="GX18" s="3">
        <v>20</v>
      </c>
      <c r="GY18" s="3">
        <v>8</v>
      </c>
      <c r="GZ18" s="3">
        <v>17</v>
      </c>
      <c r="HA18" s="3">
        <v>22</v>
      </c>
      <c r="HB18" s="3">
        <v>6</v>
      </c>
      <c r="HC18" s="3">
        <v>5</v>
      </c>
      <c r="HD18" s="3">
        <v>29</v>
      </c>
      <c r="HE18" s="3">
        <v>29</v>
      </c>
      <c r="HF18" s="3">
        <v>17</v>
      </c>
      <c r="HG18" s="3">
        <v>9</v>
      </c>
      <c r="HH18" s="3">
        <v>29</v>
      </c>
      <c r="HI18" s="3">
        <v>22</v>
      </c>
      <c r="HJ18" s="3">
        <v>21</v>
      </c>
      <c r="HK18" s="3">
        <v>13</v>
      </c>
      <c r="HL18" s="3">
        <v>14</v>
      </c>
      <c r="HM18" s="3">
        <v>24</v>
      </c>
      <c r="HN18" s="3">
        <v>13</v>
      </c>
      <c r="HO18" s="3">
        <v>27</v>
      </c>
      <c r="HP18" s="3">
        <v>7</v>
      </c>
      <c r="HQ18" s="3">
        <v>26</v>
      </c>
      <c r="HR18" s="3">
        <v>13</v>
      </c>
      <c r="HS18" s="3">
        <v>23</v>
      </c>
      <c r="HT18" s="3">
        <v>16</v>
      </c>
      <c r="HU18" s="3">
        <v>7</v>
      </c>
      <c r="HV18" s="3">
        <v>22</v>
      </c>
      <c r="HW18" s="3">
        <v>23</v>
      </c>
      <c r="HX18" s="3">
        <v>11</v>
      </c>
      <c r="HY18" s="3">
        <v>19</v>
      </c>
      <c r="HZ18" s="3">
        <v>8</v>
      </c>
      <c r="IA18" s="3">
        <v>25</v>
      </c>
      <c r="IB18" s="3">
        <v>5</v>
      </c>
      <c r="IC18" s="3">
        <v>10</v>
      </c>
      <c r="ID18" s="3">
        <v>28</v>
      </c>
      <c r="IE18" s="3">
        <v>8</v>
      </c>
      <c r="IF18" s="3">
        <v>30</v>
      </c>
      <c r="IG18" s="3">
        <v>16</v>
      </c>
      <c r="IH18" s="3">
        <v>6</v>
      </c>
      <c r="II18" s="3">
        <v>25</v>
      </c>
      <c r="IJ18" s="3">
        <v>15</v>
      </c>
      <c r="IK18" s="3">
        <v>20</v>
      </c>
      <c r="IL18" s="3">
        <v>25</v>
      </c>
      <c r="IM18" s="3">
        <v>13</v>
      </c>
      <c r="IN18" s="3">
        <v>25</v>
      </c>
      <c r="IO18" s="3">
        <v>15</v>
      </c>
      <c r="IP18" s="3">
        <v>16</v>
      </c>
      <c r="IQ18" s="3">
        <v>28</v>
      </c>
      <c r="IR18" s="3">
        <v>28</v>
      </c>
      <c r="IS18" s="3">
        <v>14</v>
      </c>
      <c r="IT18" s="3">
        <v>8</v>
      </c>
      <c r="IU18" s="3">
        <v>18</v>
      </c>
      <c r="IV18" s="3">
        <v>6</v>
      </c>
      <c r="IW18" s="3">
        <v>7</v>
      </c>
      <c r="IX18" s="3">
        <v>6</v>
      </c>
      <c r="IY18" s="3">
        <v>9</v>
      </c>
      <c r="IZ18" s="3">
        <v>29</v>
      </c>
      <c r="JA18" s="3">
        <v>20</v>
      </c>
      <c r="JB18" s="3">
        <v>6</v>
      </c>
      <c r="JC18" s="3">
        <v>13</v>
      </c>
      <c r="JD18" s="3">
        <v>19</v>
      </c>
      <c r="JE18" s="3">
        <v>12</v>
      </c>
      <c r="JF18" s="3">
        <v>22</v>
      </c>
      <c r="JG18" s="3">
        <v>6</v>
      </c>
      <c r="JH18" s="3">
        <v>9</v>
      </c>
      <c r="JI18" s="3">
        <v>30</v>
      </c>
      <c r="JJ18" s="3">
        <v>10</v>
      </c>
      <c r="JK18" s="3">
        <v>8</v>
      </c>
      <c r="JL18" s="3">
        <v>12</v>
      </c>
      <c r="JM18" s="3">
        <v>28</v>
      </c>
      <c r="JN18" s="3">
        <v>17</v>
      </c>
      <c r="JO18" s="3">
        <v>30</v>
      </c>
      <c r="JP18" s="3">
        <v>18</v>
      </c>
      <c r="JQ18" s="3">
        <v>18</v>
      </c>
      <c r="JR18" s="3">
        <v>30</v>
      </c>
      <c r="JS18" s="3">
        <v>24</v>
      </c>
      <c r="JT18" s="3">
        <v>12</v>
      </c>
      <c r="JU18" s="3">
        <v>15</v>
      </c>
      <c r="JV18" s="3">
        <v>20</v>
      </c>
      <c r="JW18" s="3">
        <v>15</v>
      </c>
      <c r="JX18" s="3">
        <v>26</v>
      </c>
      <c r="JY18" s="3">
        <v>27</v>
      </c>
      <c r="JZ18" s="3">
        <v>28</v>
      </c>
      <c r="KA18" s="3">
        <v>28</v>
      </c>
      <c r="KB18" s="3">
        <v>12</v>
      </c>
      <c r="KC18" s="3">
        <v>18</v>
      </c>
      <c r="KD18" s="3">
        <v>14</v>
      </c>
      <c r="KE18" s="3">
        <v>24</v>
      </c>
      <c r="KF18" s="3">
        <v>11</v>
      </c>
      <c r="KG18" s="3">
        <v>17</v>
      </c>
      <c r="KH18" s="3">
        <v>8</v>
      </c>
      <c r="KI18" s="3">
        <v>26</v>
      </c>
      <c r="KJ18" s="3">
        <v>13</v>
      </c>
      <c r="KK18" s="3">
        <v>18</v>
      </c>
      <c r="KL18" s="3">
        <v>17</v>
      </c>
      <c r="KM18" s="3">
        <v>30</v>
      </c>
      <c r="KN18" s="3">
        <v>7</v>
      </c>
      <c r="KO18" s="3">
        <v>9</v>
      </c>
      <c r="KP18" s="3">
        <v>25</v>
      </c>
      <c r="KQ18" s="3">
        <v>15</v>
      </c>
      <c r="KR18" s="3">
        <v>20</v>
      </c>
      <c r="KS18" s="3">
        <v>19</v>
      </c>
      <c r="KT18" s="3">
        <v>29</v>
      </c>
      <c r="KU18" s="3">
        <v>27</v>
      </c>
      <c r="KV18" s="3">
        <v>19</v>
      </c>
      <c r="KW18" s="3">
        <v>6</v>
      </c>
      <c r="KX18" s="3">
        <v>9</v>
      </c>
      <c r="KY18" s="3">
        <v>13</v>
      </c>
      <c r="KZ18" s="3">
        <v>26</v>
      </c>
      <c r="LA18" s="3">
        <v>21</v>
      </c>
      <c r="LB18" s="3">
        <v>17</v>
      </c>
      <c r="LC18" s="3">
        <v>26</v>
      </c>
      <c r="LD18" s="3">
        <v>12</v>
      </c>
      <c r="LE18" s="3">
        <v>23</v>
      </c>
      <c r="LF18" s="3">
        <v>9</v>
      </c>
      <c r="LG18" s="3">
        <v>10</v>
      </c>
      <c r="LH18" s="3">
        <v>18</v>
      </c>
      <c r="LI18" s="3">
        <v>29</v>
      </c>
      <c r="LJ18" s="3">
        <v>17</v>
      </c>
      <c r="LK18" s="3">
        <v>9</v>
      </c>
      <c r="LL18" s="3">
        <v>23</v>
      </c>
      <c r="LM18" s="3">
        <v>8</v>
      </c>
      <c r="LN18" s="3">
        <v>9</v>
      </c>
      <c r="LO18" s="3">
        <v>8</v>
      </c>
      <c r="LP18" s="3">
        <v>22</v>
      </c>
      <c r="LQ18" s="3">
        <v>7</v>
      </c>
      <c r="LR18" s="3">
        <v>8</v>
      </c>
      <c r="LS18" s="3">
        <v>26</v>
      </c>
      <c r="LT18" s="3">
        <v>17</v>
      </c>
      <c r="LU18" s="3">
        <v>8</v>
      </c>
      <c r="LV18" s="3">
        <v>20</v>
      </c>
      <c r="LW18" s="3">
        <v>26</v>
      </c>
      <c r="LX18" s="3">
        <v>20</v>
      </c>
      <c r="LY18" s="3">
        <v>12</v>
      </c>
      <c r="LZ18" s="3">
        <v>5</v>
      </c>
      <c r="MA18" s="3">
        <v>16</v>
      </c>
      <c r="MB18" s="3">
        <v>12</v>
      </c>
      <c r="MC18" s="3">
        <v>27</v>
      </c>
      <c r="MD18" s="3">
        <v>27</v>
      </c>
      <c r="ME18" s="3">
        <v>21</v>
      </c>
      <c r="MF18" s="3">
        <v>24</v>
      </c>
      <c r="MG18" s="3">
        <v>30</v>
      </c>
      <c r="MH18" s="3">
        <v>27</v>
      </c>
      <c r="MI18" s="3">
        <v>23</v>
      </c>
      <c r="MJ18" s="3">
        <v>6</v>
      </c>
      <c r="MK18" s="3">
        <v>6</v>
      </c>
      <c r="ML18" s="3">
        <v>17</v>
      </c>
      <c r="MM18" s="3">
        <v>22</v>
      </c>
      <c r="MN18" s="3">
        <v>6</v>
      </c>
      <c r="MO18" s="3">
        <v>9</v>
      </c>
      <c r="MP18" s="3">
        <v>12</v>
      </c>
      <c r="MQ18" s="3">
        <v>15</v>
      </c>
      <c r="MR18" s="3">
        <v>25</v>
      </c>
      <c r="MS18" s="3">
        <v>21</v>
      </c>
      <c r="MT18" s="3">
        <v>29</v>
      </c>
      <c r="MU18" s="3">
        <v>7</v>
      </c>
      <c r="MV18" s="3">
        <v>22</v>
      </c>
      <c r="MW18" s="3">
        <v>26</v>
      </c>
      <c r="MX18" s="3">
        <v>30</v>
      </c>
      <c r="MY18" s="3">
        <v>12</v>
      </c>
      <c r="MZ18" s="3">
        <v>5</v>
      </c>
      <c r="NA18" s="3">
        <v>21</v>
      </c>
      <c r="NB18" s="3">
        <v>22</v>
      </c>
      <c r="NC18" s="3">
        <v>25</v>
      </c>
      <c r="ND18" s="3">
        <v>23</v>
      </c>
      <c r="NE18" s="3">
        <v>28</v>
      </c>
      <c r="NF18" s="3">
        <v>20</v>
      </c>
      <c r="NG18" s="3">
        <v>5</v>
      </c>
      <c r="NH18" s="3">
        <v>17</v>
      </c>
      <c r="NI18" s="3">
        <v>26</v>
      </c>
      <c r="NJ18" s="3">
        <v>12</v>
      </c>
      <c r="NK18" s="3">
        <v>6</v>
      </c>
      <c r="NL18" s="3">
        <v>23</v>
      </c>
      <c r="NM18" s="3">
        <v>5</v>
      </c>
      <c r="NN18" s="3">
        <v>24</v>
      </c>
      <c r="NO18" s="3">
        <v>10</v>
      </c>
      <c r="NP18" s="3">
        <v>13</v>
      </c>
      <c r="NQ18" s="3">
        <v>20</v>
      </c>
      <c r="NR18" s="3">
        <v>23</v>
      </c>
      <c r="NS18" s="3">
        <v>20</v>
      </c>
      <c r="NT18" s="3">
        <v>18</v>
      </c>
      <c r="NU18" s="3">
        <v>13</v>
      </c>
      <c r="NV18" s="3">
        <v>21</v>
      </c>
      <c r="NW18" s="3">
        <v>25</v>
      </c>
      <c r="NX18" s="3">
        <v>30</v>
      </c>
      <c r="NY18" s="3">
        <v>26</v>
      </c>
      <c r="NZ18" s="3">
        <v>25</v>
      </c>
      <c r="OA18" s="3">
        <v>24</v>
      </c>
      <c r="OB18" s="3">
        <v>11</v>
      </c>
      <c r="OC18" s="3">
        <v>5</v>
      </c>
      <c r="OD18" s="3">
        <v>22</v>
      </c>
      <c r="OE18" s="3">
        <v>10</v>
      </c>
      <c r="OF18" s="3">
        <v>19</v>
      </c>
      <c r="OG18" s="3">
        <v>17</v>
      </c>
      <c r="OH18" s="3">
        <v>7</v>
      </c>
      <c r="OI18" s="3">
        <v>11</v>
      </c>
      <c r="OJ18" s="3">
        <v>29</v>
      </c>
      <c r="OK18" s="3">
        <v>23</v>
      </c>
      <c r="OL18" s="3">
        <v>6</v>
      </c>
      <c r="OM18" s="3">
        <v>11</v>
      </c>
      <c r="ON18" s="3">
        <v>24</v>
      </c>
      <c r="OO18" s="3">
        <v>10</v>
      </c>
      <c r="OP18" s="3">
        <v>30</v>
      </c>
      <c r="OQ18" s="3">
        <v>23</v>
      </c>
      <c r="OR18" s="3">
        <v>13</v>
      </c>
      <c r="OS18" s="3">
        <v>23</v>
      </c>
      <c r="OT18" s="3">
        <v>25</v>
      </c>
      <c r="OU18" s="3">
        <v>15</v>
      </c>
      <c r="OV18" s="3">
        <v>10</v>
      </c>
      <c r="OW18" s="3">
        <v>8</v>
      </c>
      <c r="OX18" s="3">
        <v>17</v>
      </c>
      <c r="OY18" s="3">
        <v>16</v>
      </c>
      <c r="OZ18" s="3">
        <v>25</v>
      </c>
      <c r="PA18" s="3">
        <v>13</v>
      </c>
      <c r="PB18" s="3">
        <v>14</v>
      </c>
      <c r="PC18" s="3">
        <v>10</v>
      </c>
      <c r="PD18" s="3">
        <v>11</v>
      </c>
      <c r="PE18" s="3">
        <v>5</v>
      </c>
      <c r="PF18" s="3">
        <v>7</v>
      </c>
      <c r="PG18" s="3">
        <v>7</v>
      </c>
      <c r="PH18" s="3">
        <v>8</v>
      </c>
      <c r="PI18" s="3">
        <v>17</v>
      </c>
      <c r="PJ18" s="3">
        <v>16</v>
      </c>
      <c r="PK18" s="3">
        <v>30</v>
      </c>
      <c r="PL18" s="3">
        <v>7</v>
      </c>
      <c r="PM18" s="3">
        <v>15</v>
      </c>
      <c r="PN18" s="3">
        <v>27</v>
      </c>
      <c r="PO18" s="3">
        <v>24</v>
      </c>
      <c r="PP18" s="3">
        <v>21</v>
      </c>
      <c r="PQ18" s="3">
        <v>26</v>
      </c>
      <c r="PR18" s="3">
        <v>9</v>
      </c>
      <c r="PS18" s="3">
        <v>16</v>
      </c>
      <c r="PT18" s="3">
        <v>28</v>
      </c>
      <c r="PU18" s="3">
        <v>8</v>
      </c>
      <c r="PV18" s="3">
        <v>19</v>
      </c>
      <c r="PW18" s="3">
        <v>22</v>
      </c>
      <c r="PX18" s="3">
        <v>19</v>
      </c>
      <c r="PY18" s="3">
        <v>11</v>
      </c>
      <c r="PZ18" s="3">
        <v>9</v>
      </c>
      <c r="QA18" s="3">
        <v>30</v>
      </c>
      <c r="QB18" s="3">
        <v>29</v>
      </c>
      <c r="QC18" s="3">
        <v>22</v>
      </c>
      <c r="QD18" s="3">
        <v>18</v>
      </c>
      <c r="QE18" s="3">
        <v>21</v>
      </c>
      <c r="QF18" s="3">
        <v>13</v>
      </c>
      <c r="QG18" s="3">
        <v>16</v>
      </c>
      <c r="QH18" s="3">
        <v>26</v>
      </c>
      <c r="QI18" s="3">
        <v>27</v>
      </c>
      <c r="QJ18" s="3">
        <v>28</v>
      </c>
      <c r="QK18" s="3">
        <v>30</v>
      </c>
      <c r="QL18" s="3">
        <v>5</v>
      </c>
      <c r="QM18" s="3">
        <v>21</v>
      </c>
      <c r="QN18" s="3">
        <v>16</v>
      </c>
      <c r="QO18" s="3">
        <v>13</v>
      </c>
      <c r="QP18" s="3">
        <v>9</v>
      </c>
      <c r="QQ18" s="3">
        <v>27</v>
      </c>
      <c r="QR18" s="3">
        <v>9</v>
      </c>
      <c r="QS18" s="3">
        <v>10</v>
      </c>
      <c r="QT18" s="3">
        <v>27</v>
      </c>
      <c r="QU18" s="3">
        <v>10</v>
      </c>
      <c r="QV18" s="3">
        <v>19</v>
      </c>
      <c r="QW18" s="3">
        <v>24</v>
      </c>
      <c r="QX18" s="3">
        <v>21</v>
      </c>
      <c r="QY18" s="3">
        <v>29</v>
      </c>
      <c r="QZ18" s="3">
        <v>8</v>
      </c>
      <c r="RA18" s="3">
        <v>23</v>
      </c>
      <c r="RB18" s="3">
        <v>16</v>
      </c>
      <c r="RC18" s="3">
        <v>23</v>
      </c>
      <c r="RD18" s="3">
        <v>25</v>
      </c>
      <c r="RE18" s="3">
        <v>30</v>
      </c>
      <c r="RF18" s="3">
        <v>24</v>
      </c>
      <c r="RG18" s="3">
        <v>16</v>
      </c>
      <c r="RH18" s="3">
        <v>10</v>
      </c>
      <c r="RI18" s="3">
        <v>15</v>
      </c>
      <c r="RJ18" s="3">
        <v>21</v>
      </c>
      <c r="RK18" s="3">
        <v>24</v>
      </c>
      <c r="RL18" s="3">
        <v>12</v>
      </c>
      <c r="RM18" s="3">
        <v>15</v>
      </c>
      <c r="RN18" s="3">
        <v>21</v>
      </c>
      <c r="RO18" s="3">
        <v>15</v>
      </c>
      <c r="RP18" s="3">
        <v>28</v>
      </c>
      <c r="RQ18" s="3">
        <v>9</v>
      </c>
      <c r="RR18" s="3">
        <v>15</v>
      </c>
      <c r="RS18" s="3">
        <v>14</v>
      </c>
      <c r="RT18" s="3">
        <v>20</v>
      </c>
      <c r="RU18" s="3">
        <v>21</v>
      </c>
      <c r="RV18" s="3">
        <v>29</v>
      </c>
      <c r="RW18" s="3">
        <v>22</v>
      </c>
      <c r="RX18" s="3">
        <v>22</v>
      </c>
      <c r="RY18" s="3">
        <v>15</v>
      </c>
      <c r="RZ18" s="3">
        <v>17</v>
      </c>
      <c r="SA18" s="3">
        <v>29</v>
      </c>
      <c r="SB18" s="3">
        <v>25</v>
      </c>
      <c r="SC18" s="3">
        <v>19</v>
      </c>
      <c r="SD18" s="3">
        <v>23</v>
      </c>
      <c r="SE18" s="3">
        <v>18</v>
      </c>
      <c r="SF18" s="3">
        <v>23</v>
      </c>
      <c r="SG18" s="3">
        <v>8</v>
      </c>
      <c r="SH18" s="3">
        <v>11</v>
      </c>
      <c r="SI18" s="3">
        <v>11</v>
      </c>
      <c r="SJ18" s="3">
        <v>14</v>
      </c>
      <c r="SK18" s="3">
        <v>27</v>
      </c>
      <c r="SL18" s="3">
        <v>9</v>
      </c>
      <c r="SM18" s="3">
        <v>5</v>
      </c>
      <c r="SN18" s="3">
        <v>21</v>
      </c>
      <c r="SO18" s="3">
        <v>21</v>
      </c>
      <c r="SP18" s="3">
        <v>7</v>
      </c>
      <c r="SQ18" s="3">
        <v>6</v>
      </c>
      <c r="SR18" s="3">
        <v>10</v>
      </c>
      <c r="SS18" s="3">
        <v>14</v>
      </c>
      <c r="ST18" s="3">
        <v>13</v>
      </c>
      <c r="SU18" s="3">
        <v>12</v>
      </c>
      <c r="SV18" s="3">
        <v>26</v>
      </c>
      <c r="SW18" s="3">
        <v>17</v>
      </c>
      <c r="SX18" s="3">
        <v>18</v>
      </c>
      <c r="SY18" s="3">
        <v>13</v>
      </c>
      <c r="SZ18" s="3">
        <v>22</v>
      </c>
      <c r="TA18" s="3">
        <v>11</v>
      </c>
      <c r="TB18" s="3">
        <v>26</v>
      </c>
      <c r="TC18" s="3">
        <v>29</v>
      </c>
      <c r="TD18" s="3">
        <v>13</v>
      </c>
      <c r="TE18" s="3">
        <v>29</v>
      </c>
      <c r="TF18" s="3">
        <v>28</v>
      </c>
      <c r="TG18" s="3">
        <v>15</v>
      </c>
      <c r="TH18" s="3">
        <v>17</v>
      </c>
      <c r="TI18" s="3">
        <v>22</v>
      </c>
      <c r="TJ18" s="3">
        <v>17</v>
      </c>
      <c r="TK18" s="3">
        <v>12</v>
      </c>
      <c r="TL18" s="3">
        <v>15</v>
      </c>
      <c r="TM18" s="3">
        <v>20</v>
      </c>
      <c r="TN18" s="3">
        <v>19</v>
      </c>
      <c r="TO18" s="3">
        <v>30</v>
      </c>
      <c r="TP18" s="3">
        <v>7</v>
      </c>
      <c r="TQ18" s="3">
        <v>8</v>
      </c>
      <c r="TR18" s="3">
        <v>25</v>
      </c>
      <c r="TS18" s="3">
        <v>12</v>
      </c>
      <c r="TT18" s="3">
        <v>22</v>
      </c>
      <c r="TU18" s="3">
        <v>11</v>
      </c>
      <c r="TV18" s="3">
        <v>18</v>
      </c>
      <c r="TW18" s="3">
        <v>8</v>
      </c>
      <c r="TX18" s="3">
        <v>15</v>
      </c>
      <c r="TY18" s="3">
        <v>18</v>
      </c>
      <c r="TZ18" s="3">
        <v>11</v>
      </c>
      <c r="UA18" s="3">
        <v>10</v>
      </c>
      <c r="UB18" s="3">
        <v>23</v>
      </c>
      <c r="UC18" s="3">
        <v>9</v>
      </c>
      <c r="UD18" s="3">
        <v>20</v>
      </c>
      <c r="UE18" s="3">
        <v>25</v>
      </c>
      <c r="UF18" s="3">
        <v>17</v>
      </c>
      <c r="UG18" s="3">
        <v>18</v>
      </c>
      <c r="UH18" s="3">
        <v>17</v>
      </c>
      <c r="UI18" s="3">
        <v>22</v>
      </c>
      <c r="UJ18" s="3">
        <v>6</v>
      </c>
      <c r="UK18" s="3">
        <v>27</v>
      </c>
      <c r="UL18" s="3">
        <v>8</v>
      </c>
      <c r="UM18" s="3">
        <v>18</v>
      </c>
      <c r="UN18" s="3">
        <v>23</v>
      </c>
      <c r="UO18" s="3">
        <v>16</v>
      </c>
      <c r="UP18" s="3">
        <v>27</v>
      </c>
      <c r="UQ18" s="3">
        <v>11</v>
      </c>
      <c r="UR18" s="3">
        <v>17</v>
      </c>
      <c r="US18" s="3">
        <v>28</v>
      </c>
      <c r="UT18" s="3">
        <v>24</v>
      </c>
      <c r="UU18" s="3">
        <v>22</v>
      </c>
      <c r="UV18" s="3">
        <v>18</v>
      </c>
      <c r="UW18" s="3">
        <v>28</v>
      </c>
      <c r="UX18" s="3">
        <v>20</v>
      </c>
      <c r="UY18" s="3">
        <v>19</v>
      </c>
      <c r="UZ18" s="3">
        <v>22</v>
      </c>
      <c r="VA18" s="3">
        <v>20</v>
      </c>
      <c r="VB18" s="3">
        <v>26</v>
      </c>
      <c r="VC18" s="3">
        <v>19</v>
      </c>
      <c r="VD18" s="3">
        <v>21</v>
      </c>
      <c r="VE18" s="3">
        <v>26</v>
      </c>
      <c r="VF18" s="3">
        <v>18</v>
      </c>
      <c r="VG18" s="3">
        <v>8</v>
      </c>
      <c r="VH18" s="3">
        <v>14</v>
      </c>
      <c r="VI18" s="3">
        <v>18</v>
      </c>
      <c r="VJ18" s="3">
        <v>8</v>
      </c>
      <c r="VK18" s="3">
        <v>16</v>
      </c>
      <c r="VL18" s="3">
        <v>23</v>
      </c>
      <c r="VM18" s="3">
        <v>27</v>
      </c>
      <c r="VN18" s="3">
        <v>8</v>
      </c>
      <c r="VO18" s="3">
        <v>20</v>
      </c>
      <c r="VP18" s="3">
        <v>11</v>
      </c>
      <c r="VQ18" s="3">
        <v>9</v>
      </c>
      <c r="VR18" s="3">
        <v>24</v>
      </c>
      <c r="VS18" s="3">
        <v>24</v>
      </c>
      <c r="VT18" s="3">
        <v>25</v>
      </c>
      <c r="VU18" s="3">
        <v>14</v>
      </c>
      <c r="VV18" s="3">
        <v>21</v>
      </c>
      <c r="VW18" s="3">
        <v>17</v>
      </c>
      <c r="VX18" s="3">
        <v>27</v>
      </c>
      <c r="VY18" s="3">
        <v>20</v>
      </c>
      <c r="VZ18" s="3">
        <v>16</v>
      </c>
      <c r="WA18" s="3">
        <v>26</v>
      </c>
      <c r="WB18" s="3">
        <v>5</v>
      </c>
      <c r="WC18" s="3">
        <v>17</v>
      </c>
      <c r="WD18" s="3">
        <v>24</v>
      </c>
      <c r="WE18" s="3">
        <v>23</v>
      </c>
      <c r="WF18" s="3">
        <v>11</v>
      </c>
      <c r="WG18" s="3">
        <v>24</v>
      </c>
      <c r="WH18" s="3">
        <v>22</v>
      </c>
      <c r="WI18" s="3">
        <v>28</v>
      </c>
      <c r="WJ18" s="3">
        <v>26</v>
      </c>
      <c r="WK18" s="3">
        <v>22</v>
      </c>
      <c r="WL18" s="3">
        <v>22</v>
      </c>
      <c r="WM18" s="3">
        <v>26</v>
      </c>
      <c r="WN18" s="3">
        <v>24</v>
      </c>
      <c r="WO18" s="3">
        <v>11</v>
      </c>
      <c r="WP18" s="3">
        <v>26</v>
      </c>
      <c r="WQ18" s="3">
        <v>30</v>
      </c>
      <c r="WR18" s="3">
        <v>17</v>
      </c>
      <c r="WS18" s="3">
        <v>7</v>
      </c>
      <c r="WT18" s="3">
        <v>18</v>
      </c>
      <c r="WU18" s="3">
        <v>17</v>
      </c>
      <c r="WV18" s="3">
        <v>20</v>
      </c>
      <c r="WW18" s="3">
        <v>17</v>
      </c>
      <c r="WX18" s="3">
        <v>10</v>
      </c>
      <c r="WY18" s="3">
        <v>27</v>
      </c>
      <c r="WZ18" s="3">
        <v>17</v>
      </c>
      <c r="XA18" s="3">
        <v>14</v>
      </c>
      <c r="XB18" s="3">
        <v>27</v>
      </c>
      <c r="XC18" s="3">
        <v>12</v>
      </c>
      <c r="XD18" s="3">
        <v>26</v>
      </c>
      <c r="XE18" s="3">
        <v>7</v>
      </c>
      <c r="XF18" s="3">
        <v>18</v>
      </c>
      <c r="XG18" s="3">
        <v>26</v>
      </c>
      <c r="XH18" s="3">
        <v>27</v>
      </c>
      <c r="XI18" s="3">
        <v>8</v>
      </c>
      <c r="XJ18" s="3">
        <v>12</v>
      </c>
      <c r="XK18" s="3">
        <v>5</v>
      </c>
      <c r="XL18" s="3">
        <v>28</v>
      </c>
      <c r="XM18" s="3">
        <v>13</v>
      </c>
      <c r="XN18" s="3">
        <v>14</v>
      </c>
      <c r="XO18" s="3">
        <v>19</v>
      </c>
      <c r="XP18" s="3">
        <v>18</v>
      </c>
      <c r="XQ18" s="3">
        <v>18</v>
      </c>
      <c r="XR18" s="3">
        <v>7</v>
      </c>
      <c r="XS18" s="3">
        <v>7</v>
      </c>
      <c r="XT18" s="3">
        <v>27</v>
      </c>
      <c r="XU18" s="3">
        <v>7</v>
      </c>
      <c r="XV18" s="3">
        <v>25</v>
      </c>
      <c r="XW18" s="3">
        <v>9</v>
      </c>
      <c r="XX18" s="3">
        <v>12</v>
      </c>
      <c r="XY18" s="3">
        <v>9</v>
      </c>
      <c r="XZ18" s="3">
        <v>5</v>
      </c>
      <c r="YA18" s="3">
        <v>23</v>
      </c>
      <c r="YB18" s="3">
        <v>25</v>
      </c>
      <c r="YC18" s="3">
        <v>28</v>
      </c>
      <c r="YD18" s="3">
        <v>17</v>
      </c>
      <c r="YE18" s="3">
        <v>10</v>
      </c>
      <c r="YF18" s="3">
        <v>16</v>
      </c>
      <c r="YG18" s="3">
        <v>12</v>
      </c>
      <c r="YH18" s="3">
        <v>29</v>
      </c>
      <c r="YI18" s="3">
        <v>10</v>
      </c>
      <c r="YJ18" s="3">
        <v>11</v>
      </c>
      <c r="YK18" s="3">
        <v>29</v>
      </c>
      <c r="YL18" s="3">
        <v>19</v>
      </c>
      <c r="YM18" s="3">
        <v>18</v>
      </c>
      <c r="YN18" s="3">
        <v>16</v>
      </c>
      <c r="YO18" s="3">
        <v>17</v>
      </c>
      <c r="YP18" s="3">
        <v>22</v>
      </c>
      <c r="YQ18" s="3">
        <v>8</v>
      </c>
      <c r="YR18" s="3">
        <v>23</v>
      </c>
      <c r="YS18" s="3">
        <v>17</v>
      </c>
      <c r="YT18" s="3">
        <v>18</v>
      </c>
      <c r="YU18" s="3">
        <v>21</v>
      </c>
      <c r="YV18" s="3">
        <v>9</v>
      </c>
      <c r="YW18" s="3">
        <v>22</v>
      </c>
      <c r="YX18" s="3">
        <v>14</v>
      </c>
      <c r="YY18" s="3">
        <v>10</v>
      </c>
      <c r="YZ18" s="3">
        <v>30</v>
      </c>
      <c r="ZA18" s="3">
        <v>30</v>
      </c>
      <c r="ZB18" s="3">
        <v>27</v>
      </c>
      <c r="ZC18" s="3">
        <v>21</v>
      </c>
      <c r="ZD18" s="3">
        <v>24</v>
      </c>
      <c r="ZE18" s="3">
        <v>15</v>
      </c>
      <c r="ZF18" s="3">
        <v>9</v>
      </c>
      <c r="ZG18" s="3">
        <v>8</v>
      </c>
      <c r="ZH18" s="3">
        <v>21</v>
      </c>
      <c r="ZI18" s="3">
        <v>25</v>
      </c>
      <c r="ZJ18" s="3">
        <v>7</v>
      </c>
      <c r="ZK18" s="3">
        <v>19</v>
      </c>
      <c r="ZL18" s="3">
        <v>11</v>
      </c>
      <c r="ZM18" s="3">
        <v>28</v>
      </c>
      <c r="ZN18" s="3">
        <v>26</v>
      </c>
      <c r="ZO18" s="3">
        <v>26</v>
      </c>
      <c r="ZP18" s="3">
        <v>8</v>
      </c>
      <c r="ZQ18" s="3">
        <v>5</v>
      </c>
      <c r="ZR18" s="3">
        <v>16</v>
      </c>
      <c r="ZS18" s="3">
        <v>23</v>
      </c>
      <c r="ZT18" s="3">
        <v>23</v>
      </c>
      <c r="ZU18" s="3">
        <v>26</v>
      </c>
      <c r="ZV18" s="3">
        <v>6</v>
      </c>
      <c r="ZW18" s="3">
        <v>27</v>
      </c>
      <c r="ZX18" s="3">
        <v>30</v>
      </c>
      <c r="ZY18" s="3">
        <v>21</v>
      </c>
      <c r="ZZ18" s="3">
        <v>15</v>
      </c>
      <c r="AAA18" s="3">
        <v>6</v>
      </c>
      <c r="AAB18" s="3">
        <v>24</v>
      </c>
      <c r="AAC18" s="3">
        <v>24</v>
      </c>
      <c r="AAD18" s="3">
        <v>12</v>
      </c>
      <c r="AAE18" s="3">
        <v>14</v>
      </c>
      <c r="AAF18" s="3">
        <v>11</v>
      </c>
      <c r="AAG18" s="3">
        <v>15</v>
      </c>
      <c r="AAH18" s="3">
        <v>20</v>
      </c>
      <c r="AAI18" s="3">
        <v>8</v>
      </c>
      <c r="AAJ18" s="3">
        <v>10</v>
      </c>
      <c r="AAK18" s="3">
        <v>8</v>
      </c>
      <c r="AAL18" s="3">
        <v>26</v>
      </c>
      <c r="AAM18" s="3">
        <v>17</v>
      </c>
      <c r="AAN18" s="3">
        <v>12</v>
      </c>
      <c r="AAO18" s="3">
        <v>17</v>
      </c>
      <c r="AAP18" s="3">
        <v>13</v>
      </c>
      <c r="AAQ18" s="3">
        <v>11</v>
      </c>
      <c r="AAR18" s="3">
        <v>21</v>
      </c>
      <c r="AAS18" s="3">
        <v>16</v>
      </c>
      <c r="AAT18" s="3">
        <v>14</v>
      </c>
      <c r="AAU18" s="3">
        <v>22</v>
      </c>
      <c r="AAV18" s="3">
        <v>29</v>
      </c>
      <c r="AAW18" s="3">
        <v>28</v>
      </c>
      <c r="AAX18" s="3">
        <v>18</v>
      </c>
      <c r="AAY18" s="3">
        <v>20</v>
      </c>
      <c r="AAZ18" s="3">
        <v>9</v>
      </c>
      <c r="ABA18" s="3">
        <v>17</v>
      </c>
      <c r="ABB18" s="3">
        <v>27</v>
      </c>
      <c r="ABC18" s="3">
        <v>21</v>
      </c>
      <c r="ABD18" s="3">
        <v>9</v>
      </c>
      <c r="ABE18" s="3">
        <v>26</v>
      </c>
      <c r="ABF18" s="3">
        <v>19</v>
      </c>
      <c r="ABG18" s="3">
        <v>25</v>
      </c>
      <c r="ABH18" s="3">
        <v>17</v>
      </c>
      <c r="ABI18" s="3">
        <v>7</v>
      </c>
      <c r="ABJ18" s="3">
        <v>10</v>
      </c>
      <c r="ABK18" s="3">
        <v>17</v>
      </c>
      <c r="ABL18" s="3">
        <v>22</v>
      </c>
      <c r="ABM18" s="3">
        <v>14</v>
      </c>
      <c r="ABN18" s="3">
        <v>11</v>
      </c>
      <c r="ABO18" s="3">
        <v>24</v>
      </c>
      <c r="ABP18" s="3">
        <v>5</v>
      </c>
      <c r="ABQ18" s="3">
        <v>8</v>
      </c>
      <c r="ABR18" s="3">
        <v>8</v>
      </c>
      <c r="ABS18" s="3">
        <v>7</v>
      </c>
      <c r="ABT18" s="3">
        <v>27</v>
      </c>
      <c r="ABU18" s="3">
        <v>29</v>
      </c>
      <c r="ABV18" s="3">
        <v>5</v>
      </c>
      <c r="ABW18" s="3">
        <v>14</v>
      </c>
      <c r="ABX18" s="3">
        <v>25</v>
      </c>
      <c r="ABY18" s="3">
        <v>6</v>
      </c>
      <c r="ABZ18" s="3">
        <v>20</v>
      </c>
      <c r="ACA18" s="3">
        <v>7</v>
      </c>
      <c r="ACB18" s="3">
        <v>23</v>
      </c>
      <c r="ACC18" s="3">
        <v>21</v>
      </c>
      <c r="ACD18" s="3">
        <v>17</v>
      </c>
      <c r="ACE18" s="3">
        <v>9</v>
      </c>
      <c r="ACF18" s="3">
        <v>17</v>
      </c>
      <c r="ACG18" s="3">
        <v>13</v>
      </c>
      <c r="ACH18" s="3">
        <v>20</v>
      </c>
      <c r="ACI18" s="3">
        <v>24</v>
      </c>
      <c r="ACJ18" s="3">
        <v>18</v>
      </c>
      <c r="ACK18" s="3">
        <v>13</v>
      </c>
      <c r="ACL18" s="3">
        <v>18</v>
      </c>
      <c r="ACM18" s="3">
        <v>21</v>
      </c>
      <c r="ACN18" s="3">
        <v>25</v>
      </c>
      <c r="ACO18" s="3">
        <v>5</v>
      </c>
      <c r="ACP18" s="3">
        <v>11</v>
      </c>
      <c r="ACQ18" s="3">
        <v>26</v>
      </c>
      <c r="ACR18" s="3">
        <v>19</v>
      </c>
      <c r="ACS18" s="3">
        <v>26</v>
      </c>
      <c r="ACT18" s="3">
        <v>26</v>
      </c>
      <c r="ACU18" s="3">
        <v>14</v>
      </c>
      <c r="ACV18" s="3">
        <v>22</v>
      </c>
      <c r="ACW18" s="3">
        <v>18</v>
      </c>
      <c r="ACX18" s="3">
        <v>25</v>
      </c>
      <c r="ACY18" s="3">
        <v>12</v>
      </c>
      <c r="ACZ18" s="3">
        <v>17</v>
      </c>
      <c r="ADA18" s="3">
        <v>30</v>
      </c>
      <c r="ADB18" s="3">
        <v>14</v>
      </c>
      <c r="ADC18" s="3">
        <v>27</v>
      </c>
      <c r="ADD18" s="3">
        <v>9</v>
      </c>
      <c r="ADE18" s="3">
        <v>10</v>
      </c>
      <c r="ADF18" s="3">
        <v>28</v>
      </c>
      <c r="ADG18" s="3">
        <v>14</v>
      </c>
      <c r="ADH18" s="3">
        <v>28</v>
      </c>
      <c r="ADI18" s="3">
        <v>16</v>
      </c>
      <c r="ADJ18" s="3">
        <v>8</v>
      </c>
      <c r="ADK18" s="3">
        <v>25</v>
      </c>
      <c r="ADL18" s="3">
        <v>23</v>
      </c>
      <c r="ADM18" s="3">
        <v>9</v>
      </c>
      <c r="ADN18" s="3">
        <v>23</v>
      </c>
      <c r="ADO18" s="3">
        <v>9</v>
      </c>
      <c r="ADP18" s="3">
        <v>22</v>
      </c>
      <c r="ADQ18" s="3">
        <v>15</v>
      </c>
      <c r="ADR18" s="3">
        <v>14</v>
      </c>
      <c r="ADS18" s="3">
        <v>13</v>
      </c>
      <c r="ADT18" s="3">
        <v>25</v>
      </c>
      <c r="ADU18" s="3">
        <v>5</v>
      </c>
      <c r="ADV18" s="3">
        <v>15</v>
      </c>
      <c r="ADW18" s="3">
        <v>21</v>
      </c>
      <c r="ADX18" s="3">
        <v>15</v>
      </c>
      <c r="ADY18" s="3">
        <v>21</v>
      </c>
      <c r="ADZ18" s="3">
        <v>19</v>
      </c>
      <c r="AEA18" s="3">
        <v>18</v>
      </c>
      <c r="AEB18" s="3">
        <v>22</v>
      </c>
      <c r="AEC18" s="3">
        <v>24</v>
      </c>
      <c r="AED18" s="3">
        <v>29</v>
      </c>
      <c r="AEE18" s="3">
        <v>16</v>
      </c>
      <c r="AEF18" s="3">
        <v>5</v>
      </c>
      <c r="AEG18" s="3">
        <v>24</v>
      </c>
      <c r="AEH18" s="3">
        <v>18</v>
      </c>
      <c r="AEI18" s="3">
        <v>13</v>
      </c>
      <c r="AEJ18" s="3">
        <v>19</v>
      </c>
      <c r="AEK18" s="3">
        <v>9</v>
      </c>
      <c r="AEL18" s="3">
        <v>22</v>
      </c>
      <c r="AEM18" s="3">
        <v>9</v>
      </c>
      <c r="AEN18" s="3">
        <v>14</v>
      </c>
      <c r="AEO18" s="3">
        <v>12</v>
      </c>
      <c r="AEP18" s="3">
        <v>17</v>
      </c>
      <c r="AEQ18" s="3">
        <v>14</v>
      </c>
      <c r="AER18" s="3">
        <v>16</v>
      </c>
      <c r="AES18" s="3">
        <v>28</v>
      </c>
      <c r="AET18" s="3">
        <v>15</v>
      </c>
      <c r="AEU18" s="3">
        <v>25</v>
      </c>
      <c r="AEV18" s="3">
        <v>19</v>
      </c>
      <c r="AEW18" s="3">
        <v>18</v>
      </c>
      <c r="AEX18" s="3">
        <v>21</v>
      </c>
      <c r="AEY18" s="3">
        <v>26</v>
      </c>
      <c r="AEZ18" s="3">
        <v>5</v>
      </c>
      <c r="AFA18" s="3">
        <v>13</v>
      </c>
      <c r="AFB18" s="3">
        <v>13</v>
      </c>
      <c r="AFC18" s="3">
        <v>18</v>
      </c>
      <c r="AFD18" s="3">
        <v>22</v>
      </c>
      <c r="AFE18" s="3">
        <v>13</v>
      </c>
      <c r="AFF18" s="3">
        <v>20</v>
      </c>
      <c r="AFG18" s="3">
        <v>10</v>
      </c>
      <c r="AFH18" s="3">
        <v>9</v>
      </c>
      <c r="AFI18" s="3">
        <v>29</v>
      </c>
      <c r="AFJ18" s="3">
        <v>20</v>
      </c>
      <c r="AFK18" s="3">
        <v>6</v>
      </c>
      <c r="AFL18" s="3">
        <v>17</v>
      </c>
      <c r="AFM18" s="3">
        <v>8</v>
      </c>
      <c r="AFN18" s="3">
        <v>21</v>
      </c>
      <c r="AFO18" s="3">
        <v>26</v>
      </c>
      <c r="AFP18" s="3">
        <v>7</v>
      </c>
      <c r="AFQ18" s="3">
        <v>15</v>
      </c>
      <c r="AFR18" s="3">
        <v>20</v>
      </c>
      <c r="AFS18" s="3">
        <v>16</v>
      </c>
      <c r="AFT18" s="3">
        <v>14</v>
      </c>
      <c r="AFU18" s="3">
        <v>28</v>
      </c>
      <c r="AFV18" s="3">
        <v>9</v>
      </c>
      <c r="AFW18" s="3">
        <v>18</v>
      </c>
      <c r="AFX18" s="3">
        <v>29</v>
      </c>
      <c r="AFY18" s="3">
        <v>13</v>
      </c>
      <c r="AFZ18" s="3">
        <v>24</v>
      </c>
      <c r="AGA18" s="3">
        <v>18</v>
      </c>
      <c r="AGB18" s="3">
        <v>8</v>
      </c>
      <c r="AGC18" s="3">
        <v>23</v>
      </c>
      <c r="AGD18" s="3">
        <v>21</v>
      </c>
      <c r="AGE18" s="3">
        <v>23</v>
      </c>
      <c r="AGF18" s="3">
        <v>30</v>
      </c>
      <c r="AGG18" s="3">
        <v>24</v>
      </c>
      <c r="AGH18" s="3">
        <v>9</v>
      </c>
      <c r="AGI18" s="3">
        <v>23</v>
      </c>
      <c r="AGJ18" s="3">
        <v>9</v>
      </c>
      <c r="AGK18" s="3">
        <v>24</v>
      </c>
      <c r="AGL18" s="3">
        <v>22</v>
      </c>
      <c r="AGM18" s="3">
        <v>7</v>
      </c>
      <c r="AGN18" s="3">
        <v>11</v>
      </c>
      <c r="AGO18" s="3">
        <v>6</v>
      </c>
      <c r="AGP18" s="3">
        <v>20</v>
      </c>
      <c r="AGQ18" s="3">
        <v>13</v>
      </c>
      <c r="AGR18" s="3">
        <v>15</v>
      </c>
      <c r="AGS18" s="3">
        <v>22</v>
      </c>
      <c r="AGT18" s="3">
        <v>9</v>
      </c>
      <c r="AGU18" s="3">
        <v>11</v>
      </c>
      <c r="AGV18" s="3">
        <v>23</v>
      </c>
      <c r="AGW18" s="3">
        <v>16</v>
      </c>
      <c r="AGX18" s="3">
        <v>18</v>
      </c>
      <c r="AGY18" s="3">
        <v>5</v>
      </c>
      <c r="AGZ18" s="3">
        <v>12</v>
      </c>
      <c r="AHA18" s="3">
        <v>16</v>
      </c>
      <c r="AHB18" s="3">
        <v>5</v>
      </c>
      <c r="AHC18" s="3">
        <v>17</v>
      </c>
      <c r="AHD18" s="3">
        <v>21</v>
      </c>
      <c r="AHE18" s="3">
        <v>7</v>
      </c>
      <c r="AHF18" s="3">
        <v>19</v>
      </c>
      <c r="AHG18" s="3">
        <v>6</v>
      </c>
      <c r="AHH18" s="3">
        <v>14</v>
      </c>
      <c r="AHI18" s="3">
        <v>7</v>
      </c>
      <c r="AHJ18" s="3">
        <v>10</v>
      </c>
      <c r="AHK18" s="3">
        <v>28</v>
      </c>
      <c r="AHL18" s="3">
        <v>5</v>
      </c>
      <c r="AHM18" s="3">
        <v>16</v>
      </c>
      <c r="AHN18" s="3">
        <v>11</v>
      </c>
      <c r="AHO18" s="3">
        <v>18</v>
      </c>
      <c r="AHP18" s="3">
        <v>7</v>
      </c>
      <c r="AHQ18" s="3">
        <v>10</v>
      </c>
      <c r="AHR18" s="3">
        <v>5</v>
      </c>
      <c r="AHS18" s="3">
        <v>11</v>
      </c>
      <c r="AHT18" s="3">
        <v>11</v>
      </c>
      <c r="AHU18" s="3">
        <v>17</v>
      </c>
      <c r="AHV18" s="3">
        <v>22</v>
      </c>
      <c r="AHW18" s="3">
        <v>29</v>
      </c>
      <c r="AHX18" s="3">
        <v>8</v>
      </c>
      <c r="AHY18" s="3">
        <v>10</v>
      </c>
      <c r="AHZ18" s="3">
        <v>7</v>
      </c>
      <c r="AIA18" s="3">
        <v>9</v>
      </c>
      <c r="AIB18" s="3">
        <v>12</v>
      </c>
      <c r="AIC18" s="3">
        <v>11</v>
      </c>
      <c r="AID18" s="3">
        <v>19</v>
      </c>
      <c r="AIE18" s="3">
        <v>7</v>
      </c>
      <c r="AIF18" s="3">
        <v>5</v>
      </c>
      <c r="AIG18" s="3">
        <v>18</v>
      </c>
      <c r="AIH18" s="3">
        <v>6</v>
      </c>
      <c r="AII18" s="3">
        <v>18</v>
      </c>
      <c r="AIJ18" s="3">
        <v>22</v>
      </c>
      <c r="AIK18" s="3">
        <v>13</v>
      </c>
      <c r="AIL18" s="3">
        <v>27</v>
      </c>
      <c r="AIM18" s="3">
        <v>19</v>
      </c>
      <c r="AIN18" s="3">
        <v>29</v>
      </c>
      <c r="AIO18" s="3">
        <v>23</v>
      </c>
      <c r="AIP18" s="3">
        <v>20</v>
      </c>
      <c r="AIQ18" s="3">
        <v>15</v>
      </c>
      <c r="AIR18" s="3">
        <v>20</v>
      </c>
      <c r="AIS18" s="3">
        <v>8</v>
      </c>
      <c r="AIT18" s="3">
        <v>11</v>
      </c>
      <c r="AIU18" s="3">
        <v>5</v>
      </c>
      <c r="AIV18" s="3">
        <v>30</v>
      </c>
      <c r="AIW18" s="3">
        <v>16</v>
      </c>
      <c r="AIX18" s="3">
        <v>18</v>
      </c>
      <c r="AIY18" s="3">
        <v>13</v>
      </c>
      <c r="AIZ18" s="3">
        <v>22</v>
      </c>
      <c r="AJA18" s="3">
        <v>21</v>
      </c>
      <c r="AJB18" s="3">
        <v>19</v>
      </c>
      <c r="AJC18" s="3">
        <v>29</v>
      </c>
      <c r="AJD18" s="3">
        <v>8</v>
      </c>
      <c r="AJE18" s="3">
        <v>9</v>
      </c>
      <c r="AJF18" s="3">
        <v>27</v>
      </c>
      <c r="AJG18" s="3">
        <v>5</v>
      </c>
      <c r="AJH18" s="3">
        <v>26</v>
      </c>
      <c r="AJI18" s="3">
        <v>28</v>
      </c>
      <c r="AJJ18" s="3">
        <v>17</v>
      </c>
      <c r="AJK18" s="3">
        <v>23</v>
      </c>
      <c r="AJL18" s="3">
        <v>13</v>
      </c>
      <c r="AJM18" s="3">
        <v>25</v>
      </c>
      <c r="AJN18" s="3">
        <v>20</v>
      </c>
      <c r="AJO18" s="3">
        <v>6</v>
      </c>
      <c r="AJP18" s="3">
        <v>10</v>
      </c>
      <c r="AJQ18" s="3">
        <v>24</v>
      </c>
      <c r="AJR18" s="3">
        <v>20</v>
      </c>
      <c r="AJS18" s="3">
        <v>6</v>
      </c>
      <c r="AJT18" s="3">
        <v>23</v>
      </c>
      <c r="AJU18" s="3">
        <v>23</v>
      </c>
      <c r="AJV18" s="3">
        <v>14</v>
      </c>
      <c r="AJW18" s="3">
        <v>6</v>
      </c>
      <c r="AJX18" s="3">
        <v>15</v>
      </c>
      <c r="AJY18" s="3">
        <v>7</v>
      </c>
      <c r="AJZ18" s="3">
        <v>20</v>
      </c>
      <c r="AKA18" s="3">
        <v>22</v>
      </c>
      <c r="AKB18" s="3">
        <v>27</v>
      </c>
      <c r="AKC18" s="3">
        <v>12</v>
      </c>
      <c r="AKD18" s="3">
        <v>9</v>
      </c>
      <c r="AKE18" s="3">
        <v>8</v>
      </c>
      <c r="AKF18" s="3">
        <v>29</v>
      </c>
      <c r="AKG18" s="3">
        <v>24</v>
      </c>
      <c r="AKH18" s="3">
        <v>6</v>
      </c>
      <c r="AKI18" s="3">
        <v>7</v>
      </c>
      <c r="AKJ18" s="3">
        <v>17</v>
      </c>
      <c r="AKK18" s="3">
        <v>11</v>
      </c>
      <c r="AKL18" s="3">
        <v>23</v>
      </c>
      <c r="AKM18" s="3">
        <v>13</v>
      </c>
      <c r="AKN18" s="3">
        <v>13</v>
      </c>
      <c r="AKO18" s="3">
        <v>19</v>
      </c>
      <c r="AKP18" s="3">
        <v>22</v>
      </c>
      <c r="AKQ18" s="3">
        <v>24</v>
      </c>
      <c r="AKR18" s="3">
        <v>27</v>
      </c>
      <c r="AKS18" s="3">
        <v>19</v>
      </c>
      <c r="AKT18" s="3">
        <v>5</v>
      </c>
      <c r="AKU18" s="3">
        <v>6</v>
      </c>
      <c r="AKV18" s="3">
        <v>6</v>
      </c>
      <c r="AKW18" s="3">
        <v>21</v>
      </c>
      <c r="AKX18" s="3">
        <v>19</v>
      </c>
      <c r="AKY18" s="3">
        <v>25</v>
      </c>
      <c r="AKZ18" s="3">
        <v>15</v>
      </c>
      <c r="ALA18" s="3">
        <v>10</v>
      </c>
      <c r="ALB18" s="3">
        <v>10</v>
      </c>
      <c r="ALC18" s="3">
        <v>15</v>
      </c>
      <c r="ALD18" s="3">
        <v>19</v>
      </c>
      <c r="ALE18" s="3">
        <v>25</v>
      </c>
      <c r="ALF18" s="3">
        <v>6</v>
      </c>
      <c r="ALG18" s="3">
        <v>6</v>
      </c>
      <c r="ALH18" s="3">
        <v>14</v>
      </c>
      <c r="ALI18" s="3">
        <v>11</v>
      </c>
      <c r="ALJ18" s="3">
        <v>14</v>
      </c>
      <c r="ALK18" s="3">
        <v>20</v>
      </c>
      <c r="ALL18" s="3">
        <v>10</v>
      </c>
      <c r="ALM18" s="3">
        <v>30</v>
      </c>
      <c r="ALN18" s="3">
        <v>26</v>
      </c>
      <c r="ALO18" s="3">
        <v>28</v>
      </c>
      <c r="ALP18" s="3">
        <v>17</v>
      </c>
    </row>
    <row r="19" spans="1:1004" x14ac:dyDescent="0.25">
      <c r="A19" s="7" t="s">
        <v>63</v>
      </c>
      <c r="B19" s="7">
        <f>AVERAGE(Entertainment_Preferences!G2:G1001)</f>
        <v>17.314</v>
      </c>
    </row>
    <row r="20" spans="1:1004" x14ac:dyDescent="0.25">
      <c r="A20" s="7" t="s">
        <v>64</v>
      </c>
      <c r="B20" s="7">
        <f>MEDIAN(Entertainment_Preferences!G2:G1001)</f>
        <v>17</v>
      </c>
    </row>
    <row r="21" spans="1:1004" x14ac:dyDescent="0.25">
      <c r="A21" s="7" t="s">
        <v>65</v>
      </c>
      <c r="B21" s="7">
        <f>MODE(Entertainment_Preferences!G2:G1001)</f>
        <v>17</v>
      </c>
    </row>
    <row r="22" spans="1:1004" x14ac:dyDescent="0.25">
      <c r="A22" s="7" t="s">
        <v>66</v>
      </c>
      <c r="B22" s="7">
        <f>MIN(Entertainment_Preferences!G2:G1001)</f>
        <v>5</v>
      </c>
    </row>
    <row r="23" spans="1:1004" x14ac:dyDescent="0.25">
      <c r="A23" s="7" t="s">
        <v>67</v>
      </c>
      <c r="B23" s="7">
        <f>MAX(Entertainment_Preferences!G2:G1001)</f>
        <v>30</v>
      </c>
    </row>
    <row r="24" spans="1:1004" x14ac:dyDescent="0.25">
      <c r="A24" s="7" t="s">
        <v>68</v>
      </c>
      <c r="B24" s="7">
        <f>_xlfn.STDEV.P(Entertainment_Preferences!G2:G1001)</f>
        <v>7.3140552363241014</v>
      </c>
    </row>
    <row r="25" spans="1:1004" x14ac:dyDescent="0.25">
      <c r="A25" s="7" t="s">
        <v>69</v>
      </c>
      <c r="B25" s="7">
        <f>_xlfn.VAR.P(Entertainment_Preferences!G2:G1001)</f>
        <v>53.495404000000001</v>
      </c>
    </row>
    <row r="26" spans="1:1004" x14ac:dyDescent="0.25">
      <c r="A26" s="7" t="s">
        <v>72</v>
      </c>
      <c r="B26" s="7">
        <f>_xlfn.QUARTILE.INC(D18:ALP18,1)</f>
        <v>11</v>
      </c>
    </row>
    <row r="27" spans="1:1004" x14ac:dyDescent="0.25">
      <c r="A27" s="7" t="s">
        <v>73</v>
      </c>
      <c r="B27" s="7">
        <f>_xlfn.QUARTILE.INC(E18:ALP18,3)</f>
        <v>23</v>
      </c>
    </row>
    <row r="28" spans="1:1004" x14ac:dyDescent="0.25">
      <c r="A28" s="7" t="s">
        <v>71</v>
      </c>
      <c r="B28" s="7">
        <f>B27-B26</f>
        <v>12</v>
      </c>
    </row>
    <row r="39" spans="1:10" x14ac:dyDescent="0.25">
      <c r="A39" t="s">
        <v>56</v>
      </c>
    </row>
    <row r="40" spans="1:10" x14ac:dyDescent="0.25">
      <c r="A40" s="1" t="s">
        <v>77</v>
      </c>
      <c r="B40" s="1" t="s">
        <v>55</v>
      </c>
    </row>
    <row r="41" spans="1:10" x14ac:dyDescent="0.25">
      <c r="A41" s="8" t="s">
        <v>78</v>
      </c>
      <c r="B41" s="7" t="s">
        <v>18</v>
      </c>
      <c r="C41" s="7" t="s">
        <v>37</v>
      </c>
      <c r="D41" s="7" t="s">
        <v>47</v>
      </c>
      <c r="E41" s="7" t="s">
        <v>43</v>
      </c>
      <c r="F41" s="7" t="s">
        <v>46</v>
      </c>
      <c r="G41" s="7" t="s">
        <v>26</v>
      </c>
      <c r="H41" s="7" t="s">
        <v>34</v>
      </c>
      <c r="I41" s="7" t="s">
        <v>40</v>
      </c>
      <c r="J41" s="7" t="s">
        <v>52</v>
      </c>
    </row>
    <row r="42" spans="1:10" x14ac:dyDescent="0.25">
      <c r="A42" s="7" t="s">
        <v>80</v>
      </c>
      <c r="B42" s="7">
        <v>22</v>
      </c>
      <c r="C42" s="7">
        <v>39</v>
      </c>
      <c r="D42" s="7">
        <v>31</v>
      </c>
      <c r="E42" s="7">
        <v>35</v>
      </c>
      <c r="F42" s="7">
        <v>33</v>
      </c>
      <c r="G42" s="7">
        <v>33</v>
      </c>
      <c r="H42" s="7">
        <v>42</v>
      </c>
      <c r="I42" s="7">
        <v>36</v>
      </c>
      <c r="J42" s="7">
        <v>271</v>
      </c>
    </row>
    <row r="43" spans="1:10" x14ac:dyDescent="0.25">
      <c r="A43" s="7" t="s">
        <v>81</v>
      </c>
      <c r="B43" s="7">
        <v>38</v>
      </c>
      <c r="C43" s="7">
        <v>36</v>
      </c>
      <c r="D43" s="7">
        <v>44</v>
      </c>
      <c r="E43" s="7">
        <v>38</v>
      </c>
      <c r="F43" s="7">
        <v>37</v>
      </c>
      <c r="G43" s="7">
        <v>29</v>
      </c>
      <c r="H43" s="7">
        <v>33</v>
      </c>
      <c r="I43" s="7">
        <v>36</v>
      </c>
      <c r="J43" s="7">
        <v>291</v>
      </c>
    </row>
    <row r="44" spans="1:10" x14ac:dyDescent="0.25">
      <c r="A44" s="7" t="s">
        <v>82</v>
      </c>
      <c r="B44" s="7">
        <v>32</v>
      </c>
      <c r="C44" s="7">
        <v>23</v>
      </c>
      <c r="D44" s="7">
        <v>21</v>
      </c>
      <c r="E44" s="7">
        <v>28</v>
      </c>
      <c r="F44" s="7">
        <v>38</v>
      </c>
      <c r="G44" s="7">
        <v>33</v>
      </c>
      <c r="H44" s="7">
        <v>36</v>
      </c>
      <c r="I44" s="7">
        <v>31</v>
      </c>
      <c r="J44" s="7">
        <v>242</v>
      </c>
    </row>
    <row r="45" spans="1:10" x14ac:dyDescent="0.25">
      <c r="A45" s="7" t="s">
        <v>83</v>
      </c>
      <c r="B45" s="7">
        <v>23</v>
      </c>
      <c r="C45" s="7">
        <v>29</v>
      </c>
      <c r="D45" s="7">
        <v>30</v>
      </c>
      <c r="E45" s="7">
        <v>21</v>
      </c>
      <c r="F45" s="7">
        <v>23</v>
      </c>
      <c r="G45" s="7">
        <v>21</v>
      </c>
      <c r="H45" s="7">
        <v>24</v>
      </c>
      <c r="I45" s="7">
        <v>25</v>
      </c>
      <c r="J45" s="7">
        <v>196</v>
      </c>
    </row>
    <row r="46" spans="1:10" x14ac:dyDescent="0.25">
      <c r="A46" s="7" t="s">
        <v>52</v>
      </c>
      <c r="B46" s="7">
        <v>115</v>
      </c>
      <c r="C46" s="7">
        <v>127</v>
      </c>
      <c r="D46" s="7">
        <v>126</v>
      </c>
      <c r="E46" s="7">
        <v>122</v>
      </c>
      <c r="F46" s="7">
        <v>131</v>
      </c>
      <c r="G46" s="7">
        <v>116</v>
      </c>
      <c r="H46" s="7">
        <v>135</v>
      </c>
      <c r="I46" s="7">
        <v>128</v>
      </c>
      <c r="J46" s="7">
        <v>1000</v>
      </c>
    </row>
    <row r="55" spans="1:2" x14ac:dyDescent="0.25">
      <c r="A55" t="s">
        <v>57</v>
      </c>
    </row>
    <row r="57" spans="1:2" x14ac:dyDescent="0.25">
      <c r="A57" s="5" t="s">
        <v>85</v>
      </c>
      <c r="B57" s="7" t="s">
        <v>84</v>
      </c>
    </row>
    <row r="58" spans="1:2" x14ac:dyDescent="0.25">
      <c r="A58" s="7" t="s">
        <v>45</v>
      </c>
      <c r="B58" s="7">
        <v>272559</v>
      </c>
    </row>
    <row r="59" spans="1:2" x14ac:dyDescent="0.25">
      <c r="A59" s="7" t="s">
        <v>30</v>
      </c>
      <c r="B59" s="7">
        <v>261728</v>
      </c>
    </row>
    <row r="60" spans="1:2" x14ac:dyDescent="0.25">
      <c r="A60" s="7" t="s">
        <v>42</v>
      </c>
      <c r="B60" s="7">
        <v>254124</v>
      </c>
    </row>
    <row r="61" spans="1:2" x14ac:dyDescent="0.25">
      <c r="A61" s="7" t="s">
        <v>17</v>
      </c>
      <c r="B61" s="7">
        <v>250838</v>
      </c>
    </row>
    <row r="62" spans="1:2" x14ac:dyDescent="0.25">
      <c r="A62" s="7" t="s">
        <v>25</v>
      </c>
      <c r="B62" s="7">
        <v>250646</v>
      </c>
    </row>
    <row r="63" spans="1:2" x14ac:dyDescent="0.25">
      <c r="A63" s="7" t="s">
        <v>33</v>
      </c>
      <c r="B63" s="7">
        <v>248490</v>
      </c>
    </row>
    <row r="64" spans="1:2" x14ac:dyDescent="0.25">
      <c r="A64" s="7" t="s">
        <v>52</v>
      </c>
      <c r="B64" s="7">
        <v>1538385</v>
      </c>
    </row>
    <row r="65" spans="1:2" x14ac:dyDescent="0.25">
      <c r="A65" s="4"/>
      <c r="B65" s="4"/>
    </row>
    <row r="66" spans="1:2" x14ac:dyDescent="0.25">
      <c r="A66" s="21" t="s">
        <v>86</v>
      </c>
      <c r="B66" s="22"/>
    </row>
    <row r="67" spans="1:2" x14ac:dyDescent="0.25">
      <c r="A67" s="7" t="s">
        <v>63</v>
      </c>
      <c r="B67" s="7">
        <f>AVERAGE(Entertainment_Preferences!I2:I1001)</f>
        <v>1538.385</v>
      </c>
    </row>
    <row r="68" spans="1:2" x14ac:dyDescent="0.25">
      <c r="A68" s="7" t="s">
        <v>64</v>
      </c>
      <c r="B68" s="7">
        <f>MEDIAN(Entertainment_Preferences!I2:I1001)</f>
        <v>1555</v>
      </c>
    </row>
    <row r="69" spans="1:2" x14ac:dyDescent="0.25">
      <c r="A69" s="7" t="s">
        <v>65</v>
      </c>
      <c r="B69" s="7">
        <f>MODE(Entertainment_Preferences!I2:I1001)</f>
        <v>644</v>
      </c>
    </row>
    <row r="70" spans="1:2" x14ac:dyDescent="0.25">
      <c r="A70" s="7" t="s">
        <v>66</v>
      </c>
      <c r="B70" s="7">
        <f>MIN(Entertainment_Preferences!I2:I1001)</f>
        <v>7</v>
      </c>
    </row>
    <row r="71" spans="1:2" x14ac:dyDescent="0.25">
      <c r="A71" s="7" t="s">
        <v>67</v>
      </c>
      <c r="B71" s="7">
        <f>MAX(Entertainment_Preferences!I2:I1001)</f>
        <v>3000</v>
      </c>
    </row>
    <row r="72" spans="1:2" x14ac:dyDescent="0.25">
      <c r="A72" s="7" t="s">
        <v>87</v>
      </c>
      <c r="B72" s="7">
        <f>B71-B70</f>
        <v>2993</v>
      </c>
    </row>
    <row r="73" spans="1:2" x14ac:dyDescent="0.25">
      <c r="A73" s="7" t="s">
        <v>68</v>
      </c>
      <c r="B73" s="7">
        <f>_xlfn.STDEV.P(Entertainment_Preferences!I2:I1001)</f>
        <v>873.49830954329843</v>
      </c>
    </row>
    <row r="74" spans="1:2" x14ac:dyDescent="0.25">
      <c r="A74" s="7" t="s">
        <v>69</v>
      </c>
      <c r="B74" s="7">
        <f>_xlfn.VAR.P(Entertainment_Preferences!I2:I1001)</f>
        <v>762999.29677500005</v>
      </c>
    </row>
    <row r="75" spans="1:2" x14ac:dyDescent="0.25">
      <c r="A75" s="7" t="s">
        <v>72</v>
      </c>
      <c r="B75" s="7">
        <f>_xlfn.QUARTILE.INC(Entertainment_Preferences!I2:I1001,1)</f>
        <v>788.5</v>
      </c>
    </row>
    <row r="76" spans="1:2" x14ac:dyDescent="0.25">
      <c r="A76" s="7" t="s">
        <v>73</v>
      </c>
      <c r="B76" s="7">
        <f>_xlfn.QUARTILE.INC(Entertainment_Preferences!I2:I1001,3)</f>
        <v>2306.25</v>
      </c>
    </row>
    <row r="77" spans="1:2" x14ac:dyDescent="0.25">
      <c r="A77" s="7" t="s">
        <v>71</v>
      </c>
      <c r="B77" s="7">
        <f>B76-B75</f>
        <v>1517.75</v>
      </c>
    </row>
    <row r="78" spans="1:2" x14ac:dyDescent="0.25">
      <c r="A78" s="7" t="s">
        <v>74</v>
      </c>
      <c r="B78" s="7">
        <f>B76+1.5*B77</f>
        <v>4582.875</v>
      </c>
    </row>
    <row r="79" spans="1:2" x14ac:dyDescent="0.25">
      <c r="A79" s="7" t="s">
        <v>75</v>
      </c>
      <c r="B79" s="7">
        <f>B75-1.5*B77</f>
        <v>-1488.125</v>
      </c>
    </row>
    <row r="87" spans="1:4" x14ac:dyDescent="0.25">
      <c r="A87" t="s">
        <v>58</v>
      </c>
    </row>
    <row r="89" spans="1:4" x14ac:dyDescent="0.25">
      <c r="A89" s="5" t="s">
        <v>79</v>
      </c>
      <c r="B89" s="5" t="s">
        <v>55</v>
      </c>
      <c r="C89" s="3"/>
      <c r="D89" s="3"/>
    </row>
    <row r="90" spans="1:4" x14ac:dyDescent="0.25">
      <c r="A90" s="5" t="s">
        <v>88</v>
      </c>
      <c r="B90" s="7" t="s">
        <v>28</v>
      </c>
      <c r="C90" s="7" t="s">
        <v>21</v>
      </c>
      <c r="D90" s="7" t="s">
        <v>52</v>
      </c>
    </row>
    <row r="91" spans="1:4" x14ac:dyDescent="0.25">
      <c r="A91" s="7">
        <v>1</v>
      </c>
      <c r="B91" s="7">
        <v>89</v>
      </c>
      <c r="C91" s="7">
        <v>100</v>
      </c>
      <c r="D91" s="7">
        <v>189</v>
      </c>
    </row>
    <row r="92" spans="1:4" x14ac:dyDescent="0.25">
      <c r="A92" s="7">
        <v>2</v>
      </c>
      <c r="B92" s="7">
        <v>94</v>
      </c>
      <c r="C92" s="7">
        <v>105</v>
      </c>
      <c r="D92" s="7">
        <v>199</v>
      </c>
    </row>
    <row r="93" spans="1:4" x14ac:dyDescent="0.25">
      <c r="A93" s="7">
        <v>3</v>
      </c>
      <c r="B93" s="7">
        <v>106</v>
      </c>
      <c r="C93" s="7">
        <v>91</v>
      </c>
      <c r="D93" s="7">
        <v>197</v>
      </c>
    </row>
    <row r="94" spans="1:4" x14ac:dyDescent="0.25">
      <c r="A94" s="7">
        <v>4</v>
      </c>
      <c r="B94" s="7">
        <v>99</v>
      </c>
      <c r="C94" s="7">
        <v>105</v>
      </c>
      <c r="D94" s="7">
        <v>204</v>
      </c>
    </row>
    <row r="95" spans="1:4" x14ac:dyDescent="0.25">
      <c r="A95" s="7">
        <v>5</v>
      </c>
      <c r="B95" s="7">
        <v>114</v>
      </c>
      <c r="C95" s="7">
        <v>97</v>
      </c>
      <c r="D95" s="7">
        <v>211</v>
      </c>
    </row>
    <row r="96" spans="1:4" x14ac:dyDescent="0.25">
      <c r="A96" s="7" t="s">
        <v>52</v>
      </c>
      <c r="B96" s="7">
        <v>502</v>
      </c>
      <c r="C96" s="7">
        <v>498</v>
      </c>
      <c r="D96" s="7">
        <v>1000</v>
      </c>
    </row>
    <row r="104" spans="1:2" x14ac:dyDescent="0.25">
      <c r="A104" t="s">
        <v>59</v>
      </c>
    </row>
    <row r="106" spans="1:2" x14ac:dyDescent="0.25">
      <c r="A106" s="10" t="s">
        <v>89</v>
      </c>
      <c r="B106" s="10" t="s">
        <v>84</v>
      </c>
    </row>
    <row r="107" spans="1:2" x14ac:dyDescent="0.25">
      <c r="A107" s="7">
        <v>5</v>
      </c>
      <c r="B107" s="7">
        <v>45676</v>
      </c>
    </row>
    <row r="108" spans="1:2" x14ac:dyDescent="0.25">
      <c r="A108" s="7">
        <v>6</v>
      </c>
      <c r="B108" s="7">
        <v>67805</v>
      </c>
    </row>
    <row r="109" spans="1:2" x14ac:dyDescent="0.25">
      <c r="A109" s="7">
        <v>7</v>
      </c>
      <c r="B109" s="7">
        <v>49296</v>
      </c>
    </row>
    <row r="110" spans="1:2" x14ac:dyDescent="0.25">
      <c r="A110" s="7">
        <v>8</v>
      </c>
      <c r="B110" s="7">
        <v>60167</v>
      </c>
    </row>
    <row r="111" spans="1:2" x14ac:dyDescent="0.25">
      <c r="A111" s="7">
        <v>9</v>
      </c>
      <c r="B111" s="7">
        <v>72258</v>
      </c>
    </row>
    <row r="112" spans="1:2" x14ac:dyDescent="0.25">
      <c r="A112" s="7">
        <v>10</v>
      </c>
      <c r="B112" s="7">
        <v>52154</v>
      </c>
    </row>
    <row r="113" spans="1:2" x14ac:dyDescent="0.25">
      <c r="A113" s="7">
        <v>11</v>
      </c>
      <c r="B113" s="7">
        <v>58858</v>
      </c>
    </row>
    <row r="114" spans="1:2" x14ac:dyDescent="0.25">
      <c r="A114" s="7">
        <v>12</v>
      </c>
      <c r="B114" s="7">
        <v>60165</v>
      </c>
    </row>
    <row r="115" spans="1:2" x14ac:dyDescent="0.25">
      <c r="A115" s="7">
        <v>13</v>
      </c>
      <c r="B115" s="7">
        <v>44288</v>
      </c>
    </row>
    <row r="116" spans="1:2" x14ac:dyDescent="0.25">
      <c r="A116" s="7">
        <v>14</v>
      </c>
      <c r="B116" s="7">
        <v>46521</v>
      </c>
    </row>
    <row r="117" spans="1:2" x14ac:dyDescent="0.25">
      <c r="A117" s="7">
        <v>15</v>
      </c>
      <c r="B117" s="7">
        <v>67557</v>
      </c>
    </row>
    <row r="118" spans="1:2" x14ac:dyDescent="0.25">
      <c r="A118" s="7">
        <v>16</v>
      </c>
      <c r="B118" s="7">
        <v>41247</v>
      </c>
    </row>
    <row r="119" spans="1:2" x14ac:dyDescent="0.25">
      <c r="A119" s="7">
        <v>17</v>
      </c>
      <c r="B119" s="7">
        <v>84287</v>
      </c>
    </row>
    <row r="120" spans="1:2" x14ac:dyDescent="0.25">
      <c r="A120" s="7">
        <v>18</v>
      </c>
      <c r="B120" s="7">
        <v>72006</v>
      </c>
    </row>
    <row r="121" spans="1:2" x14ac:dyDescent="0.25">
      <c r="A121" s="7">
        <v>19</v>
      </c>
      <c r="B121" s="7">
        <v>58050</v>
      </c>
    </row>
    <row r="122" spans="1:2" x14ac:dyDescent="0.25">
      <c r="A122" s="7">
        <v>20</v>
      </c>
      <c r="B122" s="7">
        <v>56554</v>
      </c>
    </row>
    <row r="123" spans="1:2" x14ac:dyDescent="0.25">
      <c r="A123" s="7">
        <v>21</v>
      </c>
      <c r="B123" s="7">
        <v>60706</v>
      </c>
    </row>
    <row r="124" spans="1:2" x14ac:dyDescent="0.25">
      <c r="A124" s="7">
        <v>22</v>
      </c>
      <c r="B124" s="7">
        <v>66057</v>
      </c>
    </row>
    <row r="125" spans="1:2" x14ac:dyDescent="0.25">
      <c r="A125" s="7">
        <v>23</v>
      </c>
      <c r="B125" s="7">
        <v>71385</v>
      </c>
    </row>
    <row r="126" spans="1:2" x14ac:dyDescent="0.25">
      <c r="A126" s="7">
        <v>24</v>
      </c>
      <c r="B126" s="7">
        <v>54931</v>
      </c>
    </row>
    <row r="127" spans="1:2" x14ac:dyDescent="0.25">
      <c r="A127" s="7">
        <v>25</v>
      </c>
      <c r="B127" s="7">
        <v>64785</v>
      </c>
    </row>
    <row r="128" spans="1:2" x14ac:dyDescent="0.25">
      <c r="A128" s="7">
        <v>26</v>
      </c>
      <c r="B128" s="7">
        <v>70129</v>
      </c>
    </row>
    <row r="129" spans="1:2" x14ac:dyDescent="0.25">
      <c r="A129" s="7">
        <v>27</v>
      </c>
      <c r="B129" s="7">
        <v>59873</v>
      </c>
    </row>
    <row r="130" spans="1:2" x14ac:dyDescent="0.25">
      <c r="A130" s="7">
        <v>28</v>
      </c>
      <c r="B130" s="7">
        <v>52871</v>
      </c>
    </row>
    <row r="131" spans="1:2" x14ac:dyDescent="0.25">
      <c r="A131" s="7">
        <v>29</v>
      </c>
      <c r="B131" s="7">
        <v>47653</v>
      </c>
    </row>
    <row r="132" spans="1:2" x14ac:dyDescent="0.25">
      <c r="A132" s="7">
        <v>30</v>
      </c>
      <c r="B132" s="7">
        <v>53106</v>
      </c>
    </row>
    <row r="133" spans="1:2" x14ac:dyDescent="0.25">
      <c r="A133" s="11" t="s">
        <v>52</v>
      </c>
      <c r="B133" s="11">
        <v>1538385</v>
      </c>
    </row>
    <row r="134" spans="1:2" x14ac:dyDescent="0.25">
      <c r="A134" s="12"/>
      <c r="B134" s="12"/>
    </row>
    <row r="135" spans="1:2" x14ac:dyDescent="0.25">
      <c r="A135" s="23" t="s">
        <v>90</v>
      </c>
      <c r="B135" s="24"/>
    </row>
    <row r="136" spans="1:2" x14ac:dyDescent="0.25">
      <c r="A136" s="7" t="s">
        <v>70</v>
      </c>
      <c r="B136" s="7">
        <f>CORREL(A107:A132,B107:B132)</f>
        <v>7.3973495030372982E-2</v>
      </c>
    </row>
    <row r="141" spans="1:2" x14ac:dyDescent="0.25">
      <c r="A141" t="s">
        <v>93</v>
      </c>
    </row>
    <row r="143" spans="1:2" x14ac:dyDescent="0.25">
      <c r="A143" s="1" t="s">
        <v>3</v>
      </c>
      <c r="B143" t="s">
        <v>32</v>
      </c>
    </row>
    <row r="145" spans="1:10" x14ac:dyDescent="0.25">
      <c r="A145" s="1" t="s">
        <v>84</v>
      </c>
      <c r="B145" s="1" t="s">
        <v>55</v>
      </c>
    </row>
    <row r="146" spans="1:10" x14ac:dyDescent="0.25">
      <c r="A146" s="1" t="s">
        <v>51</v>
      </c>
      <c r="B146" t="s">
        <v>41</v>
      </c>
      <c r="C146" t="s">
        <v>44</v>
      </c>
      <c r="D146" t="s">
        <v>19</v>
      </c>
      <c r="E146" t="s">
        <v>27</v>
      </c>
      <c r="F146" t="s">
        <v>49</v>
      </c>
      <c r="G146" t="s">
        <v>35</v>
      </c>
      <c r="H146" t="s">
        <v>45</v>
      </c>
      <c r="I146" t="s">
        <v>50</v>
      </c>
      <c r="J146" t="s">
        <v>52</v>
      </c>
    </row>
    <row r="147" spans="1:10" x14ac:dyDescent="0.25">
      <c r="A147" s="2" t="s">
        <v>29</v>
      </c>
      <c r="B147">
        <v>23988</v>
      </c>
      <c r="C147">
        <v>16998</v>
      </c>
      <c r="D147">
        <v>27320</v>
      </c>
      <c r="E147">
        <v>24704</v>
      </c>
      <c r="F147">
        <v>18810</v>
      </c>
      <c r="G147">
        <v>23588</v>
      </c>
      <c r="H147">
        <v>21229</v>
      </c>
      <c r="I147">
        <v>19219</v>
      </c>
      <c r="J147">
        <v>175856</v>
      </c>
    </row>
    <row r="148" spans="1:10" x14ac:dyDescent="0.25">
      <c r="A148" s="2" t="s">
        <v>14</v>
      </c>
      <c r="B148">
        <v>19265</v>
      </c>
      <c r="C148">
        <v>25429</v>
      </c>
      <c r="D148">
        <v>18033</v>
      </c>
      <c r="E148">
        <v>21311</v>
      </c>
      <c r="F148">
        <v>23669</v>
      </c>
      <c r="G148">
        <v>19778</v>
      </c>
      <c r="H148">
        <v>28596</v>
      </c>
      <c r="I148">
        <v>21320</v>
      </c>
      <c r="J148">
        <v>177401</v>
      </c>
    </row>
    <row r="149" spans="1:10" x14ac:dyDescent="0.25">
      <c r="A149" s="2" t="s">
        <v>23</v>
      </c>
      <c r="B149">
        <v>19665</v>
      </c>
      <c r="C149">
        <v>20583</v>
      </c>
      <c r="D149">
        <v>23052</v>
      </c>
      <c r="E149">
        <v>22624</v>
      </c>
      <c r="F149">
        <v>13000</v>
      </c>
      <c r="G149">
        <v>27104</v>
      </c>
      <c r="H149">
        <v>26734</v>
      </c>
      <c r="I149">
        <v>27928</v>
      </c>
      <c r="J149">
        <v>180690</v>
      </c>
    </row>
    <row r="150" spans="1:10" x14ac:dyDescent="0.25">
      <c r="A150" s="2" t="s">
        <v>52</v>
      </c>
      <c r="B150">
        <v>62918</v>
      </c>
      <c r="C150">
        <v>63010</v>
      </c>
      <c r="D150">
        <v>68405</v>
      </c>
      <c r="E150">
        <v>68639</v>
      </c>
      <c r="F150">
        <v>55479</v>
      </c>
      <c r="G150">
        <v>70470</v>
      </c>
      <c r="H150">
        <v>76559</v>
      </c>
      <c r="I150">
        <v>68467</v>
      </c>
      <c r="J150">
        <v>533947</v>
      </c>
    </row>
    <row r="175" spans="1:1" x14ac:dyDescent="0.25">
      <c r="A175" t="s">
        <v>95</v>
      </c>
    </row>
    <row r="179" spans="1:2" ht="30" x14ac:dyDescent="0.25">
      <c r="A179" s="1" t="s">
        <v>51</v>
      </c>
      <c r="B179" s="25" t="s">
        <v>91</v>
      </c>
    </row>
    <row r="180" spans="1:2" x14ac:dyDescent="0.25">
      <c r="A180" s="2" t="s">
        <v>24</v>
      </c>
      <c r="B180">
        <v>335</v>
      </c>
    </row>
    <row r="181" spans="1:2" x14ac:dyDescent="0.25">
      <c r="A181" s="2" t="s">
        <v>16</v>
      </c>
      <c r="B181">
        <v>354</v>
      </c>
    </row>
    <row r="182" spans="1:2" x14ac:dyDescent="0.25">
      <c r="A182" s="2" t="s">
        <v>39</v>
      </c>
      <c r="B182">
        <v>311</v>
      </c>
    </row>
    <row r="183" spans="1:2" x14ac:dyDescent="0.25">
      <c r="A183" s="2" t="s">
        <v>52</v>
      </c>
      <c r="B183">
        <v>1000</v>
      </c>
    </row>
  </sheetData>
  <mergeCells count="2">
    <mergeCell ref="A66:B66"/>
    <mergeCell ref="A135:B135"/>
  </mergeCells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CB91-383D-48F1-A021-FEF5BF8647E7}">
  <dimension ref="B1:N1001"/>
  <sheetViews>
    <sheetView topLeftCell="C20" workbookViewId="0">
      <selection activeCell="C28" sqref="C28:L33"/>
    </sheetView>
  </sheetViews>
  <sheetFormatPr defaultRowHeight="15" x14ac:dyDescent="0.25"/>
  <cols>
    <col min="5" max="5" width="13.140625" bestFit="1" customWidth="1"/>
    <col min="6" max="6" width="23.85546875" bestFit="1" customWidth="1"/>
    <col min="7" max="7" width="16.28515625" bestFit="1" customWidth="1"/>
    <col min="8" max="9" width="11.28515625" bestFit="1" customWidth="1"/>
    <col min="11" max="11" width="11.140625" customWidth="1"/>
  </cols>
  <sheetData>
    <row r="1" spans="2:14" x14ac:dyDescent="0.25">
      <c r="M1" t="s">
        <v>4</v>
      </c>
      <c r="N1" t="s">
        <v>2</v>
      </c>
    </row>
    <row r="2" spans="2:14" x14ac:dyDescent="0.25">
      <c r="B2" s="17" t="s">
        <v>2</v>
      </c>
      <c r="C2" s="14" t="s">
        <v>94</v>
      </c>
      <c r="D2" s="15"/>
      <c r="E2" s="15"/>
      <c r="F2" s="15"/>
      <c r="G2" s="15"/>
      <c r="H2" s="15"/>
      <c r="I2" s="15"/>
      <c r="J2" s="16"/>
      <c r="K2" s="19" t="s">
        <v>52</v>
      </c>
      <c r="M2" t="s">
        <v>16</v>
      </c>
      <c r="N2" t="s">
        <v>14</v>
      </c>
    </row>
    <row r="3" spans="2:14" x14ac:dyDescent="0.25">
      <c r="B3" s="18"/>
      <c r="C3" s="7" t="s">
        <v>41</v>
      </c>
      <c r="D3" s="7" t="s">
        <v>44</v>
      </c>
      <c r="E3" s="7" t="s">
        <v>19</v>
      </c>
      <c r="F3" s="7" t="s">
        <v>27</v>
      </c>
      <c r="G3" s="7" t="s">
        <v>49</v>
      </c>
      <c r="H3" s="7" t="s">
        <v>35</v>
      </c>
      <c r="I3" s="7" t="s">
        <v>45</v>
      </c>
      <c r="J3" s="7" t="s">
        <v>50</v>
      </c>
      <c r="K3" s="20"/>
      <c r="M3" t="s">
        <v>24</v>
      </c>
      <c r="N3" t="s">
        <v>23</v>
      </c>
    </row>
    <row r="4" spans="2:14" x14ac:dyDescent="0.25">
      <c r="B4" s="3" t="s">
        <v>29</v>
      </c>
      <c r="C4" s="7">
        <v>65378</v>
      </c>
      <c r="D4" s="7">
        <v>66179</v>
      </c>
      <c r="E4" s="7">
        <v>87860</v>
      </c>
      <c r="F4" s="7">
        <v>82041</v>
      </c>
      <c r="G4" s="7">
        <v>48552</v>
      </c>
      <c r="H4" s="7">
        <v>58173</v>
      </c>
      <c r="I4" s="7">
        <v>70019</v>
      </c>
      <c r="J4" s="7">
        <v>57595</v>
      </c>
      <c r="K4" s="7">
        <v>535797</v>
      </c>
      <c r="M4" t="s">
        <v>16</v>
      </c>
      <c r="N4" t="s">
        <v>29</v>
      </c>
    </row>
    <row r="5" spans="2:14" x14ac:dyDescent="0.25">
      <c r="B5" s="3" t="s">
        <v>14</v>
      </c>
      <c r="C5" s="7">
        <v>55789</v>
      </c>
      <c r="D5" s="7">
        <v>70833</v>
      </c>
      <c r="E5" s="7">
        <v>53570</v>
      </c>
      <c r="F5" s="7">
        <v>56512</v>
      </c>
      <c r="G5" s="7">
        <v>53082</v>
      </c>
      <c r="H5" s="7">
        <v>68590</v>
      </c>
      <c r="I5" s="7">
        <v>77491</v>
      </c>
      <c r="J5" s="7">
        <v>68777</v>
      </c>
      <c r="K5" s="7">
        <v>504644</v>
      </c>
      <c r="M5" t="s">
        <v>24</v>
      </c>
      <c r="N5" t="s">
        <v>23</v>
      </c>
    </row>
    <row r="6" spans="2:14" x14ac:dyDescent="0.25">
      <c r="B6" s="3" t="s">
        <v>23</v>
      </c>
      <c r="C6" s="7">
        <v>54873</v>
      </c>
      <c r="D6" s="7">
        <v>65883</v>
      </c>
      <c r="E6" s="7">
        <v>74686</v>
      </c>
      <c r="F6" s="7">
        <v>50616</v>
      </c>
      <c r="G6" s="7">
        <v>50007</v>
      </c>
      <c r="H6" s="7">
        <v>67092</v>
      </c>
      <c r="I6" s="7">
        <v>68871</v>
      </c>
      <c r="J6" s="7">
        <v>65916</v>
      </c>
      <c r="K6" s="7">
        <v>497944</v>
      </c>
      <c r="M6" t="s">
        <v>16</v>
      </c>
      <c r="N6" t="s">
        <v>29</v>
      </c>
    </row>
    <row r="7" spans="2:14" x14ac:dyDescent="0.25">
      <c r="B7" s="3" t="s">
        <v>52</v>
      </c>
      <c r="C7" s="7">
        <v>176040</v>
      </c>
      <c r="D7" s="7">
        <v>202895</v>
      </c>
      <c r="E7" s="7">
        <v>216116</v>
      </c>
      <c r="F7" s="7">
        <v>189169</v>
      </c>
      <c r="G7" s="7">
        <v>151641</v>
      </c>
      <c r="H7" s="7">
        <v>193855</v>
      </c>
      <c r="I7" s="7">
        <v>216381</v>
      </c>
      <c r="J7" s="7">
        <v>192288</v>
      </c>
      <c r="K7" s="7">
        <v>1538385</v>
      </c>
      <c r="M7" t="s">
        <v>24</v>
      </c>
      <c r="N7" t="s">
        <v>23</v>
      </c>
    </row>
    <row r="8" spans="2:14" x14ac:dyDescent="0.25">
      <c r="M8" t="s">
        <v>39</v>
      </c>
      <c r="N8" t="s">
        <v>14</v>
      </c>
    </row>
    <row r="9" spans="2:14" x14ac:dyDescent="0.25">
      <c r="M9" t="s">
        <v>39</v>
      </c>
      <c r="N9" t="s">
        <v>14</v>
      </c>
    </row>
    <row r="10" spans="2:14" x14ac:dyDescent="0.25">
      <c r="B10" s="19" t="s">
        <v>2</v>
      </c>
      <c r="C10" s="14" t="s">
        <v>15</v>
      </c>
      <c r="D10" s="15"/>
      <c r="E10" s="15"/>
      <c r="F10" s="15"/>
      <c r="G10" s="15"/>
      <c r="H10" s="15"/>
      <c r="I10" s="15"/>
      <c r="J10" s="15"/>
      <c r="K10" s="16"/>
      <c r="M10" t="s">
        <v>39</v>
      </c>
      <c r="N10" t="s">
        <v>29</v>
      </c>
    </row>
    <row r="11" spans="2:14" x14ac:dyDescent="0.25">
      <c r="B11" s="20"/>
      <c r="C11" s="3" t="s">
        <v>41</v>
      </c>
      <c r="D11" s="3" t="s">
        <v>44</v>
      </c>
      <c r="E11" s="3" t="s">
        <v>19</v>
      </c>
      <c r="F11" s="3" t="s">
        <v>27</v>
      </c>
      <c r="G11" s="3" t="s">
        <v>49</v>
      </c>
      <c r="H11" s="3" t="s">
        <v>35</v>
      </c>
      <c r="I11" s="3" t="s">
        <v>45</v>
      </c>
      <c r="J11" s="3" t="s">
        <v>50</v>
      </c>
      <c r="K11" s="3" t="s">
        <v>52</v>
      </c>
      <c r="M11" t="s">
        <v>24</v>
      </c>
      <c r="N11" t="s">
        <v>23</v>
      </c>
    </row>
    <row r="12" spans="2:14" x14ac:dyDescent="0.25">
      <c r="B12" s="3" t="s">
        <v>29</v>
      </c>
      <c r="C12" s="3">
        <v>21050</v>
      </c>
      <c r="D12" s="3">
        <v>28736</v>
      </c>
      <c r="E12" s="3">
        <v>32656</v>
      </c>
      <c r="F12" s="3">
        <v>34743</v>
      </c>
      <c r="G12" s="3">
        <v>14096</v>
      </c>
      <c r="H12" s="3">
        <v>17469</v>
      </c>
      <c r="I12" s="3">
        <v>21999</v>
      </c>
      <c r="J12" s="3">
        <v>25882</v>
      </c>
      <c r="K12" s="3">
        <v>196631</v>
      </c>
      <c r="M12" t="s">
        <v>39</v>
      </c>
      <c r="N12" t="s">
        <v>29</v>
      </c>
    </row>
    <row r="13" spans="2:14" x14ac:dyDescent="0.25">
      <c r="B13" s="3" t="s">
        <v>14</v>
      </c>
      <c r="C13" s="3">
        <v>15157</v>
      </c>
      <c r="D13" s="3">
        <v>17617</v>
      </c>
      <c r="E13" s="3">
        <v>12573</v>
      </c>
      <c r="F13" s="3">
        <v>24982</v>
      </c>
      <c r="G13" s="3">
        <v>15559</v>
      </c>
      <c r="H13" s="3">
        <v>23778</v>
      </c>
      <c r="I13" s="3">
        <v>21706</v>
      </c>
      <c r="J13" s="3">
        <v>17789</v>
      </c>
      <c r="K13" s="3">
        <v>149161</v>
      </c>
      <c r="M13" t="s">
        <v>39</v>
      </c>
      <c r="N13" t="s">
        <v>14</v>
      </c>
    </row>
    <row r="14" spans="2:14" x14ac:dyDescent="0.25">
      <c r="B14" s="3" t="s">
        <v>23</v>
      </c>
      <c r="C14" s="3">
        <v>15653</v>
      </c>
      <c r="D14" s="3">
        <v>29454</v>
      </c>
      <c r="E14" s="3">
        <v>22226</v>
      </c>
      <c r="F14" s="3">
        <v>11659</v>
      </c>
      <c r="G14" s="3">
        <v>17644</v>
      </c>
      <c r="H14" s="3">
        <v>26038</v>
      </c>
      <c r="I14" s="3">
        <v>21071</v>
      </c>
      <c r="J14" s="3">
        <v>16576</v>
      </c>
      <c r="K14" s="3">
        <v>160321</v>
      </c>
      <c r="M14" t="s">
        <v>39</v>
      </c>
      <c r="N14" t="s">
        <v>14</v>
      </c>
    </row>
    <row r="15" spans="2:14" x14ac:dyDescent="0.25">
      <c r="B15" s="3" t="s">
        <v>52</v>
      </c>
      <c r="C15" s="3">
        <v>51860</v>
      </c>
      <c r="D15" s="3">
        <v>75807</v>
      </c>
      <c r="E15" s="3">
        <v>67455</v>
      </c>
      <c r="F15" s="3">
        <v>71384</v>
      </c>
      <c r="G15" s="3">
        <v>47299</v>
      </c>
      <c r="H15" s="3">
        <v>67285</v>
      </c>
      <c r="I15" s="3">
        <v>64776</v>
      </c>
      <c r="J15" s="3">
        <v>60247</v>
      </c>
      <c r="K15" s="3">
        <v>506113</v>
      </c>
      <c r="M15" t="s">
        <v>39</v>
      </c>
      <c r="N15" t="s">
        <v>14</v>
      </c>
    </row>
    <row r="16" spans="2:14" x14ac:dyDescent="0.25">
      <c r="M16" t="s">
        <v>39</v>
      </c>
      <c r="N16" t="s">
        <v>29</v>
      </c>
    </row>
    <row r="17" spans="2:14" x14ac:dyDescent="0.25">
      <c r="M17" t="s">
        <v>16</v>
      </c>
      <c r="N17" t="s">
        <v>14</v>
      </c>
    </row>
    <row r="18" spans="2:14" x14ac:dyDescent="0.25">
      <c r="B18" s="19" t="s">
        <v>2</v>
      </c>
      <c r="C18" s="14" t="s">
        <v>36</v>
      </c>
      <c r="D18" s="15"/>
      <c r="E18" s="15"/>
      <c r="F18" s="15"/>
      <c r="G18" s="15"/>
      <c r="H18" s="15"/>
      <c r="I18" s="15"/>
      <c r="J18" s="15"/>
      <c r="K18" s="16"/>
      <c r="M18" t="s">
        <v>16</v>
      </c>
      <c r="N18" t="s">
        <v>23</v>
      </c>
    </row>
    <row r="19" spans="2:14" x14ac:dyDescent="0.25">
      <c r="B19" s="20"/>
      <c r="C19" s="3" t="s">
        <v>41</v>
      </c>
      <c r="D19" s="3" t="s">
        <v>44</v>
      </c>
      <c r="E19" s="3" t="s">
        <v>19</v>
      </c>
      <c r="F19" s="3" t="s">
        <v>27</v>
      </c>
      <c r="G19" s="3" t="s">
        <v>49</v>
      </c>
      <c r="H19" s="3" t="s">
        <v>35</v>
      </c>
      <c r="I19" s="3" t="s">
        <v>45</v>
      </c>
      <c r="J19" s="3" t="s">
        <v>50</v>
      </c>
      <c r="K19" s="3" t="s">
        <v>52</v>
      </c>
      <c r="M19" t="s">
        <v>39</v>
      </c>
      <c r="N19" t="s">
        <v>29</v>
      </c>
    </row>
    <row r="20" spans="2:14" x14ac:dyDescent="0.25">
      <c r="B20" s="3" t="s">
        <v>29</v>
      </c>
      <c r="C20" s="3">
        <v>20340</v>
      </c>
      <c r="D20" s="3">
        <v>20445</v>
      </c>
      <c r="E20" s="3">
        <v>27884</v>
      </c>
      <c r="F20" s="3">
        <v>22594</v>
      </c>
      <c r="G20" s="3">
        <v>15646</v>
      </c>
      <c r="H20" s="3">
        <v>17116</v>
      </c>
      <c r="I20" s="3">
        <v>26791</v>
      </c>
      <c r="J20" s="3">
        <v>12494</v>
      </c>
      <c r="K20" s="3">
        <v>163310</v>
      </c>
      <c r="M20" t="s">
        <v>16</v>
      </c>
      <c r="N20" t="s">
        <v>23</v>
      </c>
    </row>
    <row r="21" spans="2:14" x14ac:dyDescent="0.25">
      <c r="B21" s="3" t="s">
        <v>14</v>
      </c>
      <c r="C21" s="3">
        <v>21367</v>
      </c>
      <c r="D21" s="3">
        <v>27787</v>
      </c>
      <c r="E21" s="3">
        <v>22964</v>
      </c>
      <c r="F21" s="3">
        <v>10219</v>
      </c>
      <c r="G21" s="3">
        <v>13854</v>
      </c>
      <c r="H21" s="3">
        <v>25034</v>
      </c>
      <c r="I21" s="3">
        <v>27189</v>
      </c>
      <c r="J21" s="3">
        <v>29668</v>
      </c>
      <c r="K21" s="3">
        <v>178082</v>
      </c>
      <c r="M21" t="s">
        <v>24</v>
      </c>
      <c r="N21" t="s">
        <v>14</v>
      </c>
    </row>
    <row r="22" spans="2:14" x14ac:dyDescent="0.25">
      <c r="B22" s="3" t="s">
        <v>23</v>
      </c>
      <c r="C22" s="3">
        <v>19555</v>
      </c>
      <c r="D22" s="3">
        <v>15846</v>
      </c>
      <c r="E22" s="3">
        <v>29408</v>
      </c>
      <c r="F22" s="3">
        <v>16333</v>
      </c>
      <c r="G22" s="3">
        <v>19363</v>
      </c>
      <c r="H22" s="3">
        <v>13950</v>
      </c>
      <c r="I22" s="3">
        <v>21066</v>
      </c>
      <c r="J22" s="3">
        <v>21412</v>
      </c>
      <c r="K22" s="3">
        <v>156933</v>
      </c>
      <c r="M22" t="s">
        <v>16</v>
      </c>
      <c r="N22" t="s">
        <v>14</v>
      </c>
    </row>
    <row r="23" spans="2:14" x14ac:dyDescent="0.25">
      <c r="B23" s="3" t="s">
        <v>52</v>
      </c>
      <c r="C23" s="3">
        <v>61262</v>
      </c>
      <c r="D23" s="3">
        <v>64078</v>
      </c>
      <c r="E23" s="3">
        <v>80256</v>
      </c>
      <c r="F23" s="3">
        <v>49146</v>
      </c>
      <c r="G23" s="3">
        <v>48863</v>
      </c>
      <c r="H23" s="3">
        <v>56100</v>
      </c>
      <c r="I23" s="3">
        <v>75046</v>
      </c>
      <c r="J23" s="3">
        <v>63574</v>
      </c>
      <c r="K23" s="3">
        <v>498325</v>
      </c>
      <c r="M23" t="s">
        <v>24</v>
      </c>
      <c r="N23" t="s">
        <v>14</v>
      </c>
    </row>
    <row r="24" spans="2:14" x14ac:dyDescent="0.25">
      <c r="M24" t="s">
        <v>16</v>
      </c>
      <c r="N24" t="s">
        <v>23</v>
      </c>
    </row>
    <row r="25" spans="2:14" x14ac:dyDescent="0.25">
      <c r="M25" t="s">
        <v>24</v>
      </c>
      <c r="N25" t="s">
        <v>14</v>
      </c>
    </row>
    <row r="26" spans="2:14" x14ac:dyDescent="0.25">
      <c r="M26" t="s">
        <v>16</v>
      </c>
      <c r="N26" t="s">
        <v>29</v>
      </c>
    </row>
    <row r="27" spans="2:14" x14ac:dyDescent="0.25">
      <c r="M27" t="s">
        <v>16</v>
      </c>
      <c r="N27" t="s">
        <v>29</v>
      </c>
    </row>
    <row r="28" spans="2:14" x14ac:dyDescent="0.25">
      <c r="C28" s="13" t="s">
        <v>2</v>
      </c>
      <c r="D28" s="14" t="s">
        <v>32</v>
      </c>
      <c r="E28" s="15"/>
      <c r="F28" s="15"/>
      <c r="G28" s="15"/>
      <c r="H28" s="15"/>
      <c r="I28" s="15"/>
      <c r="J28" s="15"/>
      <c r="K28" s="15"/>
      <c r="L28" s="16"/>
      <c r="M28" t="s">
        <v>39</v>
      </c>
      <c r="N28" t="s">
        <v>14</v>
      </c>
    </row>
    <row r="29" spans="2:14" x14ac:dyDescent="0.25">
      <c r="C29" s="13"/>
      <c r="D29" s="3" t="s">
        <v>41</v>
      </c>
      <c r="E29" s="3" t="s">
        <v>44</v>
      </c>
      <c r="F29" s="3" t="s">
        <v>19</v>
      </c>
      <c r="G29" s="3" t="s">
        <v>27</v>
      </c>
      <c r="H29" s="3" t="s">
        <v>49</v>
      </c>
      <c r="I29" s="3" t="s">
        <v>35</v>
      </c>
      <c r="J29" s="3" t="s">
        <v>45</v>
      </c>
      <c r="K29" s="3" t="s">
        <v>50</v>
      </c>
      <c r="L29" s="3" t="s">
        <v>52</v>
      </c>
      <c r="M29" t="s">
        <v>16</v>
      </c>
      <c r="N29" t="s">
        <v>29</v>
      </c>
    </row>
    <row r="30" spans="2:14" x14ac:dyDescent="0.25">
      <c r="C30" s="3" t="s">
        <v>29</v>
      </c>
      <c r="D30" s="3">
        <v>23988</v>
      </c>
      <c r="E30" s="3">
        <v>16998</v>
      </c>
      <c r="F30" s="3">
        <v>27320</v>
      </c>
      <c r="G30" s="3">
        <v>24704</v>
      </c>
      <c r="H30" s="3">
        <v>18810</v>
      </c>
      <c r="I30" s="3">
        <v>23588</v>
      </c>
      <c r="J30" s="3">
        <v>21229</v>
      </c>
      <c r="K30" s="3">
        <v>19219</v>
      </c>
      <c r="L30" s="3">
        <v>175856</v>
      </c>
      <c r="M30" t="s">
        <v>24</v>
      </c>
      <c r="N30" t="s">
        <v>23</v>
      </c>
    </row>
    <row r="31" spans="2:14" x14ac:dyDescent="0.25">
      <c r="C31" s="3" t="s">
        <v>14</v>
      </c>
      <c r="D31" s="3">
        <v>19265</v>
      </c>
      <c r="E31" s="3">
        <v>25429</v>
      </c>
      <c r="F31" s="3">
        <v>18033</v>
      </c>
      <c r="G31" s="3">
        <v>21311</v>
      </c>
      <c r="H31" s="3">
        <v>23669</v>
      </c>
      <c r="I31" s="3">
        <v>19778</v>
      </c>
      <c r="J31" s="3">
        <v>28596</v>
      </c>
      <c r="K31" s="3">
        <v>21320</v>
      </c>
      <c r="L31" s="3">
        <v>177401</v>
      </c>
      <c r="M31" t="s">
        <v>16</v>
      </c>
      <c r="N31" t="s">
        <v>14</v>
      </c>
    </row>
    <row r="32" spans="2:14" x14ac:dyDescent="0.25">
      <c r="C32" s="3" t="s">
        <v>23</v>
      </c>
      <c r="D32" s="3">
        <v>19665</v>
      </c>
      <c r="E32" s="3">
        <v>20583</v>
      </c>
      <c r="F32" s="3">
        <v>23052</v>
      </c>
      <c r="G32" s="3">
        <v>22624</v>
      </c>
      <c r="H32" s="3">
        <v>13000</v>
      </c>
      <c r="I32" s="3">
        <v>27104</v>
      </c>
      <c r="J32" s="3">
        <v>26734</v>
      </c>
      <c r="K32" s="3">
        <v>27928</v>
      </c>
      <c r="L32" s="3">
        <v>180690</v>
      </c>
      <c r="M32" t="s">
        <v>24</v>
      </c>
      <c r="N32" t="s">
        <v>14</v>
      </c>
    </row>
    <row r="33" spans="3:14" x14ac:dyDescent="0.25">
      <c r="C33" s="3" t="s">
        <v>52</v>
      </c>
      <c r="D33" s="3">
        <v>62918</v>
      </c>
      <c r="E33" s="3">
        <v>63010</v>
      </c>
      <c r="F33" s="3">
        <v>68405</v>
      </c>
      <c r="G33" s="3">
        <v>68639</v>
      </c>
      <c r="H33" s="3">
        <v>55479</v>
      </c>
      <c r="I33" s="3">
        <v>70470</v>
      </c>
      <c r="J33" s="3">
        <v>76559</v>
      </c>
      <c r="K33" s="3">
        <v>68467</v>
      </c>
      <c r="L33" s="3">
        <v>533947</v>
      </c>
      <c r="M33" t="s">
        <v>39</v>
      </c>
      <c r="N33" t="s">
        <v>14</v>
      </c>
    </row>
    <row r="34" spans="3:14" x14ac:dyDescent="0.25">
      <c r="M34" t="s">
        <v>24</v>
      </c>
      <c r="N34" t="s">
        <v>29</v>
      </c>
    </row>
    <row r="35" spans="3:14" x14ac:dyDescent="0.25">
      <c r="M35" t="s">
        <v>39</v>
      </c>
      <c r="N35" t="s">
        <v>23</v>
      </c>
    </row>
    <row r="36" spans="3:14" x14ac:dyDescent="0.25">
      <c r="M36" t="s">
        <v>24</v>
      </c>
      <c r="N36" t="s">
        <v>14</v>
      </c>
    </row>
    <row r="37" spans="3:14" x14ac:dyDescent="0.25">
      <c r="M37" t="s">
        <v>24</v>
      </c>
      <c r="N37" t="s">
        <v>23</v>
      </c>
    </row>
    <row r="38" spans="3:14" x14ac:dyDescent="0.25">
      <c r="M38" t="s">
        <v>16</v>
      </c>
      <c r="N38" t="s">
        <v>23</v>
      </c>
    </row>
    <row r="39" spans="3:14" x14ac:dyDescent="0.25">
      <c r="M39" t="s">
        <v>39</v>
      </c>
      <c r="N39" t="s">
        <v>23</v>
      </c>
    </row>
    <row r="40" spans="3:14" x14ac:dyDescent="0.25">
      <c r="M40" t="s">
        <v>16</v>
      </c>
      <c r="N40" t="s">
        <v>29</v>
      </c>
    </row>
    <row r="41" spans="3:14" x14ac:dyDescent="0.25">
      <c r="M41" t="s">
        <v>39</v>
      </c>
      <c r="N41" t="s">
        <v>14</v>
      </c>
    </row>
    <row r="42" spans="3:14" x14ac:dyDescent="0.25">
      <c r="M42" t="s">
        <v>16</v>
      </c>
      <c r="N42" t="s">
        <v>14</v>
      </c>
    </row>
    <row r="43" spans="3:14" x14ac:dyDescent="0.25">
      <c r="M43" t="s">
        <v>39</v>
      </c>
      <c r="N43" t="s">
        <v>23</v>
      </c>
    </row>
    <row r="44" spans="3:14" x14ac:dyDescent="0.25">
      <c r="M44" t="s">
        <v>24</v>
      </c>
      <c r="N44" t="s">
        <v>23</v>
      </c>
    </row>
    <row r="45" spans="3:14" x14ac:dyDescent="0.25">
      <c r="M45" t="s">
        <v>16</v>
      </c>
      <c r="N45" t="s">
        <v>14</v>
      </c>
    </row>
    <row r="46" spans="3:14" x14ac:dyDescent="0.25">
      <c r="M46" t="s">
        <v>16</v>
      </c>
      <c r="N46" t="s">
        <v>29</v>
      </c>
    </row>
    <row r="47" spans="3:14" x14ac:dyDescent="0.25">
      <c r="M47" t="s">
        <v>24</v>
      </c>
      <c r="N47" t="s">
        <v>23</v>
      </c>
    </row>
    <row r="48" spans="3:14" x14ac:dyDescent="0.25">
      <c r="M48" t="s">
        <v>39</v>
      </c>
      <c r="N48" t="s">
        <v>23</v>
      </c>
    </row>
    <row r="49" spans="13:14" x14ac:dyDescent="0.25">
      <c r="M49" t="s">
        <v>39</v>
      </c>
      <c r="N49" t="s">
        <v>14</v>
      </c>
    </row>
    <row r="50" spans="13:14" x14ac:dyDescent="0.25">
      <c r="M50" t="s">
        <v>39</v>
      </c>
      <c r="N50" t="s">
        <v>29</v>
      </c>
    </row>
    <row r="51" spans="13:14" x14ac:dyDescent="0.25">
      <c r="M51" t="s">
        <v>16</v>
      </c>
      <c r="N51" t="s">
        <v>23</v>
      </c>
    </row>
    <row r="52" spans="13:14" x14ac:dyDescent="0.25">
      <c r="M52" t="s">
        <v>24</v>
      </c>
      <c r="N52" t="s">
        <v>14</v>
      </c>
    </row>
    <row r="53" spans="13:14" x14ac:dyDescent="0.25">
      <c r="M53" t="s">
        <v>39</v>
      </c>
      <c r="N53" t="s">
        <v>23</v>
      </c>
    </row>
    <row r="54" spans="13:14" x14ac:dyDescent="0.25">
      <c r="M54" t="s">
        <v>24</v>
      </c>
      <c r="N54" t="s">
        <v>14</v>
      </c>
    </row>
    <row r="55" spans="13:14" x14ac:dyDescent="0.25">
      <c r="M55" t="s">
        <v>24</v>
      </c>
      <c r="N55" t="s">
        <v>23</v>
      </c>
    </row>
    <row r="56" spans="13:14" x14ac:dyDescent="0.25">
      <c r="M56" t="s">
        <v>16</v>
      </c>
      <c r="N56" t="s">
        <v>29</v>
      </c>
    </row>
    <row r="57" spans="13:14" x14ac:dyDescent="0.25">
      <c r="M57" t="s">
        <v>39</v>
      </c>
      <c r="N57" t="s">
        <v>29</v>
      </c>
    </row>
    <row r="58" spans="13:14" x14ac:dyDescent="0.25">
      <c r="M58" t="s">
        <v>16</v>
      </c>
      <c r="N58" t="s">
        <v>29</v>
      </c>
    </row>
    <row r="59" spans="13:14" x14ac:dyDescent="0.25">
      <c r="M59" t="s">
        <v>24</v>
      </c>
      <c r="N59" t="s">
        <v>29</v>
      </c>
    </row>
    <row r="60" spans="13:14" x14ac:dyDescent="0.25">
      <c r="M60" t="s">
        <v>16</v>
      </c>
      <c r="N60" t="s">
        <v>29</v>
      </c>
    </row>
    <row r="61" spans="13:14" x14ac:dyDescent="0.25">
      <c r="M61" t="s">
        <v>24</v>
      </c>
      <c r="N61" t="s">
        <v>23</v>
      </c>
    </row>
    <row r="62" spans="13:14" x14ac:dyDescent="0.25">
      <c r="M62" t="s">
        <v>16</v>
      </c>
      <c r="N62" t="s">
        <v>23</v>
      </c>
    </row>
    <row r="63" spans="13:14" x14ac:dyDescent="0.25">
      <c r="M63" t="s">
        <v>39</v>
      </c>
      <c r="N63" t="s">
        <v>29</v>
      </c>
    </row>
    <row r="64" spans="13:14" x14ac:dyDescent="0.25">
      <c r="M64" t="s">
        <v>24</v>
      </c>
      <c r="N64" t="s">
        <v>23</v>
      </c>
    </row>
    <row r="65" spans="13:14" x14ac:dyDescent="0.25">
      <c r="M65" t="s">
        <v>16</v>
      </c>
      <c r="N65" t="s">
        <v>23</v>
      </c>
    </row>
    <row r="66" spans="13:14" x14ac:dyDescent="0.25">
      <c r="M66" t="s">
        <v>16</v>
      </c>
      <c r="N66" t="s">
        <v>23</v>
      </c>
    </row>
    <row r="67" spans="13:14" x14ac:dyDescent="0.25">
      <c r="M67" t="s">
        <v>39</v>
      </c>
      <c r="N67" t="s">
        <v>14</v>
      </c>
    </row>
    <row r="68" spans="13:14" x14ac:dyDescent="0.25">
      <c r="M68" t="s">
        <v>16</v>
      </c>
      <c r="N68" t="s">
        <v>14</v>
      </c>
    </row>
    <row r="69" spans="13:14" x14ac:dyDescent="0.25">
      <c r="M69" t="s">
        <v>24</v>
      </c>
      <c r="N69" t="s">
        <v>14</v>
      </c>
    </row>
    <row r="70" spans="13:14" x14ac:dyDescent="0.25">
      <c r="M70" t="s">
        <v>39</v>
      </c>
      <c r="N70" t="s">
        <v>23</v>
      </c>
    </row>
    <row r="71" spans="13:14" x14ac:dyDescent="0.25">
      <c r="M71" t="s">
        <v>24</v>
      </c>
      <c r="N71" t="s">
        <v>23</v>
      </c>
    </row>
    <row r="72" spans="13:14" x14ac:dyDescent="0.25">
      <c r="M72" t="s">
        <v>39</v>
      </c>
      <c r="N72" t="s">
        <v>14</v>
      </c>
    </row>
    <row r="73" spans="13:14" x14ac:dyDescent="0.25">
      <c r="M73" t="s">
        <v>24</v>
      </c>
      <c r="N73" t="s">
        <v>23</v>
      </c>
    </row>
    <row r="74" spans="13:14" x14ac:dyDescent="0.25">
      <c r="M74" t="s">
        <v>24</v>
      </c>
      <c r="N74" t="s">
        <v>14</v>
      </c>
    </row>
    <row r="75" spans="13:14" x14ac:dyDescent="0.25">
      <c r="M75" t="s">
        <v>16</v>
      </c>
      <c r="N75" t="s">
        <v>29</v>
      </c>
    </row>
    <row r="76" spans="13:14" x14ac:dyDescent="0.25">
      <c r="M76" t="s">
        <v>39</v>
      </c>
      <c r="N76" t="s">
        <v>14</v>
      </c>
    </row>
    <row r="77" spans="13:14" x14ac:dyDescent="0.25">
      <c r="M77" t="s">
        <v>39</v>
      </c>
      <c r="N77" t="s">
        <v>23</v>
      </c>
    </row>
    <row r="78" spans="13:14" x14ac:dyDescent="0.25">
      <c r="M78" t="s">
        <v>39</v>
      </c>
      <c r="N78" t="s">
        <v>14</v>
      </c>
    </row>
    <row r="79" spans="13:14" x14ac:dyDescent="0.25">
      <c r="M79" t="s">
        <v>24</v>
      </c>
      <c r="N79" t="s">
        <v>29</v>
      </c>
    </row>
    <row r="80" spans="13:14" x14ac:dyDescent="0.25">
      <c r="M80" t="s">
        <v>24</v>
      </c>
      <c r="N80" t="s">
        <v>14</v>
      </c>
    </row>
    <row r="81" spans="13:14" x14ac:dyDescent="0.25">
      <c r="M81" t="s">
        <v>16</v>
      </c>
      <c r="N81" t="s">
        <v>14</v>
      </c>
    </row>
    <row r="82" spans="13:14" x14ac:dyDescent="0.25">
      <c r="M82" t="s">
        <v>39</v>
      </c>
      <c r="N82" t="s">
        <v>23</v>
      </c>
    </row>
    <row r="83" spans="13:14" x14ac:dyDescent="0.25">
      <c r="M83" t="s">
        <v>24</v>
      </c>
      <c r="N83" t="s">
        <v>14</v>
      </c>
    </row>
    <row r="84" spans="13:14" x14ac:dyDescent="0.25">
      <c r="M84" t="s">
        <v>39</v>
      </c>
      <c r="N84" t="s">
        <v>14</v>
      </c>
    </row>
    <row r="85" spans="13:14" x14ac:dyDescent="0.25">
      <c r="M85" t="s">
        <v>16</v>
      </c>
      <c r="N85" t="s">
        <v>23</v>
      </c>
    </row>
    <row r="86" spans="13:14" x14ac:dyDescent="0.25">
      <c r="M86" t="s">
        <v>24</v>
      </c>
      <c r="N86" t="s">
        <v>29</v>
      </c>
    </row>
    <row r="87" spans="13:14" x14ac:dyDescent="0.25">
      <c r="M87" t="s">
        <v>39</v>
      </c>
      <c r="N87" t="s">
        <v>23</v>
      </c>
    </row>
    <row r="88" spans="13:14" x14ac:dyDescent="0.25">
      <c r="M88" t="s">
        <v>39</v>
      </c>
      <c r="N88" t="s">
        <v>29</v>
      </c>
    </row>
    <row r="89" spans="13:14" x14ac:dyDescent="0.25">
      <c r="M89" t="s">
        <v>24</v>
      </c>
      <c r="N89" t="s">
        <v>29</v>
      </c>
    </row>
    <row r="90" spans="13:14" x14ac:dyDescent="0.25">
      <c r="M90" t="s">
        <v>16</v>
      </c>
      <c r="N90" t="s">
        <v>23</v>
      </c>
    </row>
    <row r="91" spans="13:14" x14ac:dyDescent="0.25">
      <c r="M91" t="s">
        <v>39</v>
      </c>
      <c r="N91" t="s">
        <v>29</v>
      </c>
    </row>
    <row r="92" spans="13:14" x14ac:dyDescent="0.25">
      <c r="M92" t="s">
        <v>16</v>
      </c>
      <c r="N92" t="s">
        <v>23</v>
      </c>
    </row>
    <row r="93" spans="13:14" x14ac:dyDescent="0.25">
      <c r="M93" t="s">
        <v>24</v>
      </c>
      <c r="N93" t="s">
        <v>23</v>
      </c>
    </row>
    <row r="94" spans="13:14" x14ac:dyDescent="0.25">
      <c r="M94" t="s">
        <v>24</v>
      </c>
      <c r="N94" t="s">
        <v>23</v>
      </c>
    </row>
    <row r="95" spans="13:14" x14ac:dyDescent="0.25">
      <c r="M95" t="s">
        <v>16</v>
      </c>
      <c r="N95" t="s">
        <v>14</v>
      </c>
    </row>
    <row r="96" spans="13:14" x14ac:dyDescent="0.25">
      <c r="M96" t="s">
        <v>16</v>
      </c>
      <c r="N96" t="s">
        <v>29</v>
      </c>
    </row>
    <row r="97" spans="13:14" x14ac:dyDescent="0.25">
      <c r="M97" t="s">
        <v>39</v>
      </c>
      <c r="N97" t="s">
        <v>23</v>
      </c>
    </row>
    <row r="98" spans="13:14" x14ac:dyDescent="0.25">
      <c r="M98" t="s">
        <v>39</v>
      </c>
      <c r="N98" t="s">
        <v>14</v>
      </c>
    </row>
    <row r="99" spans="13:14" x14ac:dyDescent="0.25">
      <c r="M99" t="s">
        <v>16</v>
      </c>
      <c r="N99" t="s">
        <v>14</v>
      </c>
    </row>
    <row r="100" spans="13:14" x14ac:dyDescent="0.25">
      <c r="M100" t="s">
        <v>16</v>
      </c>
      <c r="N100" t="s">
        <v>29</v>
      </c>
    </row>
    <row r="101" spans="13:14" x14ac:dyDescent="0.25">
      <c r="M101" t="s">
        <v>39</v>
      </c>
      <c r="N101" t="s">
        <v>23</v>
      </c>
    </row>
    <row r="102" spans="13:14" x14ac:dyDescent="0.25">
      <c r="M102" t="s">
        <v>39</v>
      </c>
      <c r="N102" t="s">
        <v>23</v>
      </c>
    </row>
    <row r="103" spans="13:14" x14ac:dyDescent="0.25">
      <c r="M103" t="s">
        <v>24</v>
      </c>
      <c r="N103" t="s">
        <v>23</v>
      </c>
    </row>
    <row r="104" spans="13:14" x14ac:dyDescent="0.25">
      <c r="M104" t="s">
        <v>24</v>
      </c>
      <c r="N104" t="s">
        <v>23</v>
      </c>
    </row>
    <row r="105" spans="13:14" x14ac:dyDescent="0.25">
      <c r="M105" t="s">
        <v>39</v>
      </c>
      <c r="N105" t="s">
        <v>23</v>
      </c>
    </row>
    <row r="106" spans="13:14" x14ac:dyDescent="0.25">
      <c r="M106" t="s">
        <v>24</v>
      </c>
      <c r="N106" t="s">
        <v>29</v>
      </c>
    </row>
    <row r="107" spans="13:14" x14ac:dyDescent="0.25">
      <c r="M107" t="s">
        <v>39</v>
      </c>
      <c r="N107" t="s">
        <v>23</v>
      </c>
    </row>
    <row r="108" spans="13:14" x14ac:dyDescent="0.25">
      <c r="M108" t="s">
        <v>39</v>
      </c>
      <c r="N108" t="s">
        <v>29</v>
      </c>
    </row>
    <row r="109" spans="13:14" x14ac:dyDescent="0.25">
      <c r="M109" t="s">
        <v>16</v>
      </c>
      <c r="N109" t="s">
        <v>29</v>
      </c>
    </row>
    <row r="110" spans="13:14" x14ac:dyDescent="0.25">
      <c r="M110" t="s">
        <v>39</v>
      </c>
      <c r="N110" t="s">
        <v>29</v>
      </c>
    </row>
    <row r="111" spans="13:14" x14ac:dyDescent="0.25">
      <c r="M111" t="s">
        <v>16</v>
      </c>
      <c r="N111" t="s">
        <v>14</v>
      </c>
    </row>
    <row r="112" spans="13:14" x14ac:dyDescent="0.25">
      <c r="M112" t="s">
        <v>16</v>
      </c>
      <c r="N112" t="s">
        <v>29</v>
      </c>
    </row>
    <row r="113" spans="13:14" x14ac:dyDescent="0.25">
      <c r="M113" t="s">
        <v>16</v>
      </c>
      <c r="N113" t="s">
        <v>29</v>
      </c>
    </row>
    <row r="114" spans="13:14" x14ac:dyDescent="0.25">
      <c r="M114" t="s">
        <v>16</v>
      </c>
      <c r="N114" t="s">
        <v>23</v>
      </c>
    </row>
    <row r="115" spans="13:14" x14ac:dyDescent="0.25">
      <c r="M115" t="s">
        <v>24</v>
      </c>
      <c r="N115" t="s">
        <v>23</v>
      </c>
    </row>
    <row r="116" spans="13:14" x14ac:dyDescent="0.25">
      <c r="M116" t="s">
        <v>16</v>
      </c>
      <c r="N116" t="s">
        <v>23</v>
      </c>
    </row>
    <row r="117" spans="13:14" x14ac:dyDescent="0.25">
      <c r="M117" t="s">
        <v>16</v>
      </c>
      <c r="N117" t="s">
        <v>29</v>
      </c>
    </row>
    <row r="118" spans="13:14" x14ac:dyDescent="0.25">
      <c r="M118" t="s">
        <v>24</v>
      </c>
      <c r="N118" t="s">
        <v>14</v>
      </c>
    </row>
    <row r="119" spans="13:14" x14ac:dyDescent="0.25">
      <c r="M119" t="s">
        <v>39</v>
      </c>
      <c r="N119" t="s">
        <v>29</v>
      </c>
    </row>
    <row r="120" spans="13:14" x14ac:dyDescent="0.25">
      <c r="M120" t="s">
        <v>39</v>
      </c>
      <c r="N120" t="s">
        <v>23</v>
      </c>
    </row>
    <row r="121" spans="13:14" x14ac:dyDescent="0.25">
      <c r="M121" t="s">
        <v>39</v>
      </c>
      <c r="N121" t="s">
        <v>23</v>
      </c>
    </row>
    <row r="122" spans="13:14" x14ac:dyDescent="0.25">
      <c r="M122" t="s">
        <v>24</v>
      </c>
      <c r="N122" t="s">
        <v>14</v>
      </c>
    </row>
    <row r="123" spans="13:14" x14ac:dyDescent="0.25">
      <c r="M123" t="s">
        <v>39</v>
      </c>
      <c r="N123" t="s">
        <v>29</v>
      </c>
    </row>
    <row r="124" spans="13:14" x14ac:dyDescent="0.25">
      <c r="M124" t="s">
        <v>24</v>
      </c>
      <c r="N124" t="s">
        <v>29</v>
      </c>
    </row>
    <row r="125" spans="13:14" x14ac:dyDescent="0.25">
      <c r="M125" t="s">
        <v>24</v>
      </c>
      <c r="N125" t="s">
        <v>14</v>
      </c>
    </row>
    <row r="126" spans="13:14" x14ac:dyDescent="0.25">
      <c r="M126" t="s">
        <v>39</v>
      </c>
      <c r="N126" t="s">
        <v>29</v>
      </c>
    </row>
    <row r="127" spans="13:14" x14ac:dyDescent="0.25">
      <c r="M127" t="s">
        <v>24</v>
      </c>
      <c r="N127" t="s">
        <v>29</v>
      </c>
    </row>
    <row r="128" spans="13:14" x14ac:dyDescent="0.25">
      <c r="M128" t="s">
        <v>39</v>
      </c>
      <c r="N128" t="s">
        <v>14</v>
      </c>
    </row>
    <row r="129" spans="13:14" x14ac:dyDescent="0.25">
      <c r="M129" t="s">
        <v>16</v>
      </c>
      <c r="N129" t="s">
        <v>29</v>
      </c>
    </row>
    <row r="130" spans="13:14" x14ac:dyDescent="0.25">
      <c r="M130" t="s">
        <v>24</v>
      </c>
      <c r="N130" t="s">
        <v>29</v>
      </c>
    </row>
    <row r="131" spans="13:14" x14ac:dyDescent="0.25">
      <c r="M131" t="s">
        <v>16</v>
      </c>
      <c r="N131" t="s">
        <v>14</v>
      </c>
    </row>
    <row r="132" spans="13:14" x14ac:dyDescent="0.25">
      <c r="M132" t="s">
        <v>39</v>
      </c>
      <c r="N132" t="s">
        <v>29</v>
      </c>
    </row>
    <row r="133" spans="13:14" x14ac:dyDescent="0.25">
      <c r="M133" t="s">
        <v>24</v>
      </c>
      <c r="N133" t="s">
        <v>23</v>
      </c>
    </row>
    <row r="134" spans="13:14" x14ac:dyDescent="0.25">
      <c r="M134" t="s">
        <v>16</v>
      </c>
      <c r="N134" t="s">
        <v>23</v>
      </c>
    </row>
    <row r="135" spans="13:14" x14ac:dyDescent="0.25">
      <c r="M135" t="s">
        <v>39</v>
      </c>
      <c r="N135" t="s">
        <v>14</v>
      </c>
    </row>
    <row r="136" spans="13:14" x14ac:dyDescent="0.25">
      <c r="M136" t="s">
        <v>16</v>
      </c>
      <c r="N136" t="s">
        <v>23</v>
      </c>
    </row>
    <row r="137" spans="13:14" x14ac:dyDescent="0.25">
      <c r="M137" t="s">
        <v>24</v>
      </c>
      <c r="N137" t="s">
        <v>29</v>
      </c>
    </row>
    <row r="138" spans="13:14" x14ac:dyDescent="0.25">
      <c r="M138" t="s">
        <v>24</v>
      </c>
      <c r="N138" t="s">
        <v>14</v>
      </c>
    </row>
    <row r="139" spans="13:14" x14ac:dyDescent="0.25">
      <c r="M139" t="s">
        <v>16</v>
      </c>
      <c r="N139" t="s">
        <v>29</v>
      </c>
    </row>
    <row r="140" spans="13:14" x14ac:dyDescent="0.25">
      <c r="M140" t="s">
        <v>16</v>
      </c>
      <c r="N140" t="s">
        <v>29</v>
      </c>
    </row>
    <row r="141" spans="13:14" x14ac:dyDescent="0.25">
      <c r="M141" t="s">
        <v>39</v>
      </c>
      <c r="N141" t="s">
        <v>29</v>
      </c>
    </row>
    <row r="142" spans="13:14" x14ac:dyDescent="0.25">
      <c r="M142" t="s">
        <v>39</v>
      </c>
      <c r="N142" t="s">
        <v>23</v>
      </c>
    </row>
    <row r="143" spans="13:14" x14ac:dyDescent="0.25">
      <c r="M143" t="s">
        <v>39</v>
      </c>
      <c r="N143" t="s">
        <v>23</v>
      </c>
    </row>
    <row r="144" spans="13:14" x14ac:dyDescent="0.25">
      <c r="M144" t="s">
        <v>24</v>
      </c>
      <c r="N144" t="s">
        <v>29</v>
      </c>
    </row>
    <row r="145" spans="13:14" x14ac:dyDescent="0.25">
      <c r="M145" t="s">
        <v>24</v>
      </c>
      <c r="N145" t="s">
        <v>29</v>
      </c>
    </row>
    <row r="146" spans="13:14" x14ac:dyDescent="0.25">
      <c r="M146" t="s">
        <v>39</v>
      </c>
      <c r="N146" t="s">
        <v>29</v>
      </c>
    </row>
    <row r="147" spans="13:14" x14ac:dyDescent="0.25">
      <c r="M147" t="s">
        <v>39</v>
      </c>
      <c r="N147" t="s">
        <v>14</v>
      </c>
    </row>
    <row r="148" spans="13:14" x14ac:dyDescent="0.25">
      <c r="M148" t="s">
        <v>39</v>
      </c>
      <c r="N148" t="s">
        <v>14</v>
      </c>
    </row>
    <row r="149" spans="13:14" x14ac:dyDescent="0.25">
      <c r="M149" t="s">
        <v>16</v>
      </c>
      <c r="N149" t="s">
        <v>29</v>
      </c>
    </row>
    <row r="150" spans="13:14" x14ac:dyDescent="0.25">
      <c r="M150" t="s">
        <v>16</v>
      </c>
      <c r="N150" t="s">
        <v>29</v>
      </c>
    </row>
    <row r="151" spans="13:14" x14ac:dyDescent="0.25">
      <c r="M151" t="s">
        <v>39</v>
      </c>
      <c r="N151" t="s">
        <v>14</v>
      </c>
    </row>
    <row r="152" spans="13:14" x14ac:dyDescent="0.25">
      <c r="M152" t="s">
        <v>24</v>
      </c>
      <c r="N152" t="s">
        <v>14</v>
      </c>
    </row>
    <row r="153" spans="13:14" x14ac:dyDescent="0.25">
      <c r="M153" t="s">
        <v>16</v>
      </c>
      <c r="N153" t="s">
        <v>23</v>
      </c>
    </row>
    <row r="154" spans="13:14" x14ac:dyDescent="0.25">
      <c r="M154" t="s">
        <v>16</v>
      </c>
      <c r="N154" t="s">
        <v>23</v>
      </c>
    </row>
    <row r="155" spans="13:14" x14ac:dyDescent="0.25">
      <c r="M155" t="s">
        <v>24</v>
      </c>
      <c r="N155" t="s">
        <v>23</v>
      </c>
    </row>
    <row r="156" spans="13:14" x14ac:dyDescent="0.25">
      <c r="M156" t="s">
        <v>16</v>
      </c>
      <c r="N156" t="s">
        <v>29</v>
      </c>
    </row>
    <row r="157" spans="13:14" x14ac:dyDescent="0.25">
      <c r="M157" t="s">
        <v>24</v>
      </c>
      <c r="N157" t="s">
        <v>14</v>
      </c>
    </row>
    <row r="158" spans="13:14" x14ac:dyDescent="0.25">
      <c r="M158" t="s">
        <v>16</v>
      </c>
      <c r="N158" t="s">
        <v>29</v>
      </c>
    </row>
    <row r="159" spans="13:14" x14ac:dyDescent="0.25">
      <c r="M159" t="s">
        <v>16</v>
      </c>
      <c r="N159" t="s">
        <v>23</v>
      </c>
    </row>
    <row r="160" spans="13:14" x14ac:dyDescent="0.25">
      <c r="M160" t="s">
        <v>16</v>
      </c>
      <c r="N160" t="s">
        <v>29</v>
      </c>
    </row>
    <row r="161" spans="13:14" x14ac:dyDescent="0.25">
      <c r="M161" t="s">
        <v>16</v>
      </c>
      <c r="N161" t="s">
        <v>29</v>
      </c>
    </row>
    <row r="162" spans="13:14" x14ac:dyDescent="0.25">
      <c r="M162" t="s">
        <v>16</v>
      </c>
      <c r="N162" t="s">
        <v>23</v>
      </c>
    </row>
    <row r="163" spans="13:14" x14ac:dyDescent="0.25">
      <c r="M163" t="s">
        <v>39</v>
      </c>
      <c r="N163" t="s">
        <v>14</v>
      </c>
    </row>
    <row r="164" spans="13:14" x14ac:dyDescent="0.25">
      <c r="M164" t="s">
        <v>39</v>
      </c>
      <c r="N164" t="s">
        <v>14</v>
      </c>
    </row>
    <row r="165" spans="13:14" x14ac:dyDescent="0.25">
      <c r="M165" t="s">
        <v>24</v>
      </c>
      <c r="N165" t="s">
        <v>23</v>
      </c>
    </row>
    <row r="166" spans="13:14" x14ac:dyDescent="0.25">
      <c r="M166" t="s">
        <v>24</v>
      </c>
      <c r="N166" t="s">
        <v>23</v>
      </c>
    </row>
    <row r="167" spans="13:14" x14ac:dyDescent="0.25">
      <c r="M167" t="s">
        <v>24</v>
      </c>
      <c r="N167" t="s">
        <v>23</v>
      </c>
    </row>
    <row r="168" spans="13:14" x14ac:dyDescent="0.25">
      <c r="M168" t="s">
        <v>24</v>
      </c>
      <c r="N168" t="s">
        <v>14</v>
      </c>
    </row>
    <row r="169" spans="13:14" x14ac:dyDescent="0.25">
      <c r="M169" t="s">
        <v>39</v>
      </c>
      <c r="N169" t="s">
        <v>23</v>
      </c>
    </row>
    <row r="170" spans="13:14" x14ac:dyDescent="0.25">
      <c r="M170" t="s">
        <v>39</v>
      </c>
      <c r="N170" t="s">
        <v>29</v>
      </c>
    </row>
    <row r="171" spans="13:14" x14ac:dyDescent="0.25">
      <c r="M171" t="s">
        <v>24</v>
      </c>
      <c r="N171" t="s">
        <v>29</v>
      </c>
    </row>
    <row r="172" spans="13:14" x14ac:dyDescent="0.25">
      <c r="M172" t="s">
        <v>24</v>
      </c>
      <c r="N172" t="s">
        <v>29</v>
      </c>
    </row>
    <row r="173" spans="13:14" x14ac:dyDescent="0.25">
      <c r="M173" t="s">
        <v>16</v>
      </c>
      <c r="N173" t="s">
        <v>14</v>
      </c>
    </row>
    <row r="174" spans="13:14" x14ac:dyDescent="0.25">
      <c r="M174" t="s">
        <v>16</v>
      </c>
      <c r="N174" t="s">
        <v>23</v>
      </c>
    </row>
    <row r="175" spans="13:14" x14ac:dyDescent="0.25">
      <c r="M175" t="s">
        <v>24</v>
      </c>
      <c r="N175" t="s">
        <v>14</v>
      </c>
    </row>
    <row r="176" spans="13:14" x14ac:dyDescent="0.25">
      <c r="M176" t="s">
        <v>16</v>
      </c>
      <c r="N176" t="s">
        <v>23</v>
      </c>
    </row>
    <row r="177" spans="13:14" x14ac:dyDescent="0.25">
      <c r="M177" t="s">
        <v>39</v>
      </c>
      <c r="N177" t="s">
        <v>14</v>
      </c>
    </row>
    <row r="178" spans="13:14" x14ac:dyDescent="0.25">
      <c r="M178" t="s">
        <v>39</v>
      </c>
      <c r="N178" t="s">
        <v>14</v>
      </c>
    </row>
    <row r="179" spans="13:14" x14ac:dyDescent="0.25">
      <c r="M179" t="s">
        <v>39</v>
      </c>
      <c r="N179" t="s">
        <v>14</v>
      </c>
    </row>
    <row r="180" spans="13:14" x14ac:dyDescent="0.25">
      <c r="M180" t="s">
        <v>24</v>
      </c>
      <c r="N180" t="s">
        <v>29</v>
      </c>
    </row>
    <row r="181" spans="13:14" x14ac:dyDescent="0.25">
      <c r="M181" t="s">
        <v>24</v>
      </c>
      <c r="N181" t="s">
        <v>14</v>
      </c>
    </row>
    <row r="182" spans="13:14" x14ac:dyDescent="0.25">
      <c r="M182" t="s">
        <v>24</v>
      </c>
      <c r="N182" t="s">
        <v>29</v>
      </c>
    </row>
    <row r="183" spans="13:14" x14ac:dyDescent="0.25">
      <c r="M183" t="s">
        <v>16</v>
      </c>
      <c r="N183" t="s">
        <v>14</v>
      </c>
    </row>
    <row r="184" spans="13:14" x14ac:dyDescent="0.25">
      <c r="M184" t="s">
        <v>24</v>
      </c>
      <c r="N184" t="s">
        <v>29</v>
      </c>
    </row>
    <row r="185" spans="13:14" x14ac:dyDescent="0.25">
      <c r="M185" t="s">
        <v>24</v>
      </c>
      <c r="N185" t="s">
        <v>23</v>
      </c>
    </row>
    <row r="186" spans="13:14" x14ac:dyDescent="0.25">
      <c r="M186" t="s">
        <v>16</v>
      </c>
      <c r="N186" t="s">
        <v>23</v>
      </c>
    </row>
    <row r="187" spans="13:14" x14ac:dyDescent="0.25">
      <c r="M187" t="s">
        <v>39</v>
      </c>
      <c r="N187" t="s">
        <v>29</v>
      </c>
    </row>
    <row r="188" spans="13:14" x14ac:dyDescent="0.25">
      <c r="M188" t="s">
        <v>16</v>
      </c>
      <c r="N188" t="s">
        <v>14</v>
      </c>
    </row>
    <row r="189" spans="13:14" x14ac:dyDescent="0.25">
      <c r="M189" t="s">
        <v>16</v>
      </c>
      <c r="N189" t="s">
        <v>14</v>
      </c>
    </row>
    <row r="190" spans="13:14" x14ac:dyDescent="0.25">
      <c r="M190" t="s">
        <v>24</v>
      </c>
      <c r="N190" t="s">
        <v>14</v>
      </c>
    </row>
    <row r="191" spans="13:14" x14ac:dyDescent="0.25">
      <c r="M191" t="s">
        <v>39</v>
      </c>
      <c r="N191" t="s">
        <v>14</v>
      </c>
    </row>
    <row r="192" spans="13:14" x14ac:dyDescent="0.25">
      <c r="M192" t="s">
        <v>16</v>
      </c>
      <c r="N192" t="s">
        <v>29</v>
      </c>
    </row>
    <row r="193" spans="13:14" x14ac:dyDescent="0.25">
      <c r="M193" t="s">
        <v>39</v>
      </c>
      <c r="N193" t="s">
        <v>29</v>
      </c>
    </row>
    <row r="194" spans="13:14" x14ac:dyDescent="0.25">
      <c r="M194" t="s">
        <v>24</v>
      </c>
      <c r="N194" t="s">
        <v>29</v>
      </c>
    </row>
    <row r="195" spans="13:14" x14ac:dyDescent="0.25">
      <c r="M195" t="s">
        <v>16</v>
      </c>
      <c r="N195" t="s">
        <v>29</v>
      </c>
    </row>
    <row r="196" spans="13:14" x14ac:dyDescent="0.25">
      <c r="M196" t="s">
        <v>16</v>
      </c>
      <c r="N196" t="s">
        <v>14</v>
      </c>
    </row>
    <row r="197" spans="13:14" x14ac:dyDescent="0.25">
      <c r="M197" t="s">
        <v>39</v>
      </c>
      <c r="N197" t="s">
        <v>23</v>
      </c>
    </row>
    <row r="198" spans="13:14" x14ac:dyDescent="0.25">
      <c r="M198" t="s">
        <v>16</v>
      </c>
      <c r="N198" t="s">
        <v>29</v>
      </c>
    </row>
    <row r="199" spans="13:14" x14ac:dyDescent="0.25">
      <c r="M199" t="s">
        <v>16</v>
      </c>
      <c r="N199" t="s">
        <v>23</v>
      </c>
    </row>
    <row r="200" spans="13:14" x14ac:dyDescent="0.25">
      <c r="M200" t="s">
        <v>24</v>
      </c>
      <c r="N200" t="s">
        <v>29</v>
      </c>
    </row>
    <row r="201" spans="13:14" x14ac:dyDescent="0.25">
      <c r="M201" t="s">
        <v>24</v>
      </c>
      <c r="N201" t="s">
        <v>14</v>
      </c>
    </row>
    <row r="202" spans="13:14" x14ac:dyDescent="0.25">
      <c r="M202" t="s">
        <v>16</v>
      </c>
      <c r="N202" t="s">
        <v>14</v>
      </c>
    </row>
    <row r="203" spans="13:14" x14ac:dyDescent="0.25">
      <c r="M203" t="s">
        <v>39</v>
      </c>
      <c r="N203" t="s">
        <v>23</v>
      </c>
    </row>
    <row r="204" spans="13:14" x14ac:dyDescent="0.25">
      <c r="M204" t="s">
        <v>16</v>
      </c>
      <c r="N204" t="s">
        <v>14</v>
      </c>
    </row>
    <row r="205" spans="13:14" x14ac:dyDescent="0.25">
      <c r="M205" t="s">
        <v>16</v>
      </c>
      <c r="N205" t="s">
        <v>14</v>
      </c>
    </row>
    <row r="206" spans="13:14" x14ac:dyDescent="0.25">
      <c r="M206" t="s">
        <v>24</v>
      </c>
      <c r="N206" t="s">
        <v>23</v>
      </c>
    </row>
    <row r="207" spans="13:14" x14ac:dyDescent="0.25">
      <c r="M207" t="s">
        <v>39</v>
      </c>
      <c r="N207" t="s">
        <v>23</v>
      </c>
    </row>
    <row r="208" spans="13:14" x14ac:dyDescent="0.25">
      <c r="M208" t="s">
        <v>39</v>
      </c>
      <c r="N208" t="s">
        <v>14</v>
      </c>
    </row>
    <row r="209" spans="13:14" x14ac:dyDescent="0.25">
      <c r="M209" t="s">
        <v>39</v>
      </c>
      <c r="N209" t="s">
        <v>23</v>
      </c>
    </row>
    <row r="210" spans="13:14" x14ac:dyDescent="0.25">
      <c r="M210" t="s">
        <v>16</v>
      </c>
      <c r="N210" t="s">
        <v>29</v>
      </c>
    </row>
    <row r="211" spans="13:14" x14ac:dyDescent="0.25">
      <c r="M211" t="s">
        <v>24</v>
      </c>
      <c r="N211" t="s">
        <v>23</v>
      </c>
    </row>
    <row r="212" spans="13:14" x14ac:dyDescent="0.25">
      <c r="M212" t="s">
        <v>39</v>
      </c>
      <c r="N212" t="s">
        <v>23</v>
      </c>
    </row>
    <row r="213" spans="13:14" x14ac:dyDescent="0.25">
      <c r="M213" t="s">
        <v>16</v>
      </c>
      <c r="N213" t="s">
        <v>14</v>
      </c>
    </row>
    <row r="214" spans="13:14" x14ac:dyDescent="0.25">
      <c r="M214" t="s">
        <v>39</v>
      </c>
      <c r="N214" t="s">
        <v>23</v>
      </c>
    </row>
    <row r="215" spans="13:14" x14ac:dyDescent="0.25">
      <c r="M215" t="s">
        <v>39</v>
      </c>
      <c r="N215" t="s">
        <v>14</v>
      </c>
    </row>
    <row r="216" spans="13:14" x14ac:dyDescent="0.25">
      <c r="M216" t="s">
        <v>39</v>
      </c>
      <c r="N216" t="s">
        <v>29</v>
      </c>
    </row>
    <row r="217" spans="13:14" x14ac:dyDescent="0.25">
      <c r="M217" t="s">
        <v>39</v>
      </c>
      <c r="N217" t="s">
        <v>29</v>
      </c>
    </row>
    <row r="218" spans="13:14" x14ac:dyDescent="0.25">
      <c r="M218" t="s">
        <v>16</v>
      </c>
      <c r="N218" t="s">
        <v>29</v>
      </c>
    </row>
    <row r="219" spans="13:14" x14ac:dyDescent="0.25">
      <c r="M219" t="s">
        <v>16</v>
      </c>
      <c r="N219" t="s">
        <v>14</v>
      </c>
    </row>
    <row r="220" spans="13:14" x14ac:dyDescent="0.25">
      <c r="M220" t="s">
        <v>16</v>
      </c>
      <c r="N220" t="s">
        <v>23</v>
      </c>
    </row>
    <row r="221" spans="13:14" x14ac:dyDescent="0.25">
      <c r="M221" t="s">
        <v>39</v>
      </c>
      <c r="N221" t="s">
        <v>29</v>
      </c>
    </row>
    <row r="222" spans="13:14" x14ac:dyDescent="0.25">
      <c r="M222" t="s">
        <v>24</v>
      </c>
      <c r="N222" t="s">
        <v>14</v>
      </c>
    </row>
    <row r="223" spans="13:14" x14ac:dyDescent="0.25">
      <c r="M223" t="s">
        <v>24</v>
      </c>
      <c r="N223" t="s">
        <v>23</v>
      </c>
    </row>
    <row r="224" spans="13:14" x14ac:dyDescent="0.25">
      <c r="M224" t="s">
        <v>16</v>
      </c>
      <c r="N224" t="s">
        <v>14</v>
      </c>
    </row>
    <row r="225" spans="13:14" x14ac:dyDescent="0.25">
      <c r="M225" t="s">
        <v>24</v>
      </c>
      <c r="N225" t="s">
        <v>29</v>
      </c>
    </row>
    <row r="226" spans="13:14" x14ac:dyDescent="0.25">
      <c r="M226" t="s">
        <v>16</v>
      </c>
      <c r="N226" t="s">
        <v>23</v>
      </c>
    </row>
    <row r="227" spans="13:14" x14ac:dyDescent="0.25">
      <c r="M227" t="s">
        <v>24</v>
      </c>
      <c r="N227" t="s">
        <v>14</v>
      </c>
    </row>
    <row r="228" spans="13:14" x14ac:dyDescent="0.25">
      <c r="M228" t="s">
        <v>16</v>
      </c>
      <c r="N228" t="s">
        <v>14</v>
      </c>
    </row>
    <row r="229" spans="13:14" x14ac:dyDescent="0.25">
      <c r="M229" t="s">
        <v>39</v>
      </c>
      <c r="N229" t="s">
        <v>29</v>
      </c>
    </row>
    <row r="230" spans="13:14" x14ac:dyDescent="0.25">
      <c r="M230" t="s">
        <v>39</v>
      </c>
      <c r="N230" t="s">
        <v>23</v>
      </c>
    </row>
    <row r="231" spans="13:14" x14ac:dyDescent="0.25">
      <c r="M231" t="s">
        <v>24</v>
      </c>
      <c r="N231" t="s">
        <v>23</v>
      </c>
    </row>
    <row r="232" spans="13:14" x14ac:dyDescent="0.25">
      <c r="M232" t="s">
        <v>39</v>
      </c>
      <c r="N232" t="s">
        <v>23</v>
      </c>
    </row>
    <row r="233" spans="13:14" x14ac:dyDescent="0.25">
      <c r="M233" t="s">
        <v>24</v>
      </c>
      <c r="N233" t="s">
        <v>14</v>
      </c>
    </row>
    <row r="234" spans="13:14" x14ac:dyDescent="0.25">
      <c r="M234" t="s">
        <v>39</v>
      </c>
      <c r="N234" t="s">
        <v>14</v>
      </c>
    </row>
    <row r="235" spans="13:14" x14ac:dyDescent="0.25">
      <c r="M235" t="s">
        <v>24</v>
      </c>
      <c r="N235" t="s">
        <v>23</v>
      </c>
    </row>
    <row r="236" spans="13:14" x14ac:dyDescent="0.25">
      <c r="M236" t="s">
        <v>39</v>
      </c>
      <c r="N236" t="s">
        <v>29</v>
      </c>
    </row>
    <row r="237" spans="13:14" x14ac:dyDescent="0.25">
      <c r="M237" t="s">
        <v>24</v>
      </c>
      <c r="N237" t="s">
        <v>23</v>
      </c>
    </row>
    <row r="238" spans="13:14" x14ac:dyDescent="0.25">
      <c r="M238" t="s">
        <v>16</v>
      </c>
      <c r="N238" t="s">
        <v>23</v>
      </c>
    </row>
    <row r="239" spans="13:14" x14ac:dyDescent="0.25">
      <c r="M239" t="s">
        <v>16</v>
      </c>
      <c r="N239" t="s">
        <v>23</v>
      </c>
    </row>
    <row r="240" spans="13:14" x14ac:dyDescent="0.25">
      <c r="M240" t="s">
        <v>16</v>
      </c>
      <c r="N240" t="s">
        <v>29</v>
      </c>
    </row>
    <row r="241" spans="13:14" x14ac:dyDescent="0.25">
      <c r="M241" t="s">
        <v>24</v>
      </c>
      <c r="N241" t="s">
        <v>23</v>
      </c>
    </row>
    <row r="242" spans="13:14" x14ac:dyDescent="0.25">
      <c r="M242" t="s">
        <v>24</v>
      </c>
      <c r="N242" t="s">
        <v>29</v>
      </c>
    </row>
    <row r="243" spans="13:14" x14ac:dyDescent="0.25">
      <c r="M243" t="s">
        <v>39</v>
      </c>
      <c r="N243" t="s">
        <v>14</v>
      </c>
    </row>
    <row r="244" spans="13:14" x14ac:dyDescent="0.25">
      <c r="M244" t="s">
        <v>39</v>
      </c>
      <c r="N244" t="s">
        <v>29</v>
      </c>
    </row>
    <row r="245" spans="13:14" x14ac:dyDescent="0.25">
      <c r="M245" t="s">
        <v>39</v>
      </c>
      <c r="N245" t="s">
        <v>14</v>
      </c>
    </row>
    <row r="246" spans="13:14" x14ac:dyDescent="0.25">
      <c r="M246" t="s">
        <v>39</v>
      </c>
      <c r="N246" t="s">
        <v>23</v>
      </c>
    </row>
    <row r="247" spans="13:14" x14ac:dyDescent="0.25">
      <c r="M247" t="s">
        <v>24</v>
      </c>
      <c r="N247" t="s">
        <v>29</v>
      </c>
    </row>
    <row r="248" spans="13:14" x14ac:dyDescent="0.25">
      <c r="M248" t="s">
        <v>24</v>
      </c>
      <c r="N248" t="s">
        <v>29</v>
      </c>
    </row>
    <row r="249" spans="13:14" x14ac:dyDescent="0.25">
      <c r="M249" t="s">
        <v>16</v>
      </c>
      <c r="N249" t="s">
        <v>29</v>
      </c>
    </row>
    <row r="250" spans="13:14" x14ac:dyDescent="0.25">
      <c r="M250" t="s">
        <v>16</v>
      </c>
      <c r="N250" t="s">
        <v>23</v>
      </c>
    </row>
    <row r="251" spans="13:14" x14ac:dyDescent="0.25">
      <c r="M251" t="s">
        <v>16</v>
      </c>
      <c r="N251" t="s">
        <v>23</v>
      </c>
    </row>
    <row r="252" spans="13:14" x14ac:dyDescent="0.25">
      <c r="M252" t="s">
        <v>39</v>
      </c>
      <c r="N252" t="s">
        <v>23</v>
      </c>
    </row>
    <row r="253" spans="13:14" x14ac:dyDescent="0.25">
      <c r="M253" t="s">
        <v>24</v>
      </c>
      <c r="N253" t="s">
        <v>29</v>
      </c>
    </row>
    <row r="254" spans="13:14" x14ac:dyDescent="0.25">
      <c r="M254" t="s">
        <v>16</v>
      </c>
      <c r="N254" t="s">
        <v>23</v>
      </c>
    </row>
    <row r="255" spans="13:14" x14ac:dyDescent="0.25">
      <c r="M255" t="s">
        <v>39</v>
      </c>
      <c r="N255" t="s">
        <v>29</v>
      </c>
    </row>
    <row r="256" spans="13:14" x14ac:dyDescent="0.25">
      <c r="M256" t="s">
        <v>39</v>
      </c>
      <c r="N256" t="s">
        <v>14</v>
      </c>
    </row>
    <row r="257" spans="13:14" x14ac:dyDescent="0.25">
      <c r="M257" t="s">
        <v>24</v>
      </c>
      <c r="N257" t="s">
        <v>29</v>
      </c>
    </row>
    <row r="258" spans="13:14" x14ac:dyDescent="0.25">
      <c r="M258" t="s">
        <v>39</v>
      </c>
      <c r="N258" t="s">
        <v>29</v>
      </c>
    </row>
    <row r="259" spans="13:14" x14ac:dyDescent="0.25">
      <c r="M259" t="s">
        <v>16</v>
      </c>
      <c r="N259" t="s">
        <v>29</v>
      </c>
    </row>
    <row r="260" spans="13:14" x14ac:dyDescent="0.25">
      <c r="M260" t="s">
        <v>24</v>
      </c>
      <c r="N260" t="s">
        <v>29</v>
      </c>
    </row>
    <row r="261" spans="13:14" x14ac:dyDescent="0.25">
      <c r="M261" t="s">
        <v>24</v>
      </c>
      <c r="N261" t="s">
        <v>29</v>
      </c>
    </row>
    <row r="262" spans="13:14" x14ac:dyDescent="0.25">
      <c r="M262" t="s">
        <v>16</v>
      </c>
      <c r="N262" t="s">
        <v>23</v>
      </c>
    </row>
    <row r="263" spans="13:14" x14ac:dyDescent="0.25">
      <c r="M263" t="s">
        <v>24</v>
      </c>
      <c r="N263" t="s">
        <v>29</v>
      </c>
    </row>
    <row r="264" spans="13:14" x14ac:dyDescent="0.25">
      <c r="M264" t="s">
        <v>16</v>
      </c>
      <c r="N264" t="s">
        <v>14</v>
      </c>
    </row>
    <row r="265" spans="13:14" x14ac:dyDescent="0.25">
      <c r="M265" t="s">
        <v>24</v>
      </c>
      <c r="N265" t="s">
        <v>14</v>
      </c>
    </row>
    <row r="266" spans="13:14" x14ac:dyDescent="0.25">
      <c r="M266" t="s">
        <v>39</v>
      </c>
      <c r="N266" t="s">
        <v>29</v>
      </c>
    </row>
    <row r="267" spans="13:14" x14ac:dyDescent="0.25">
      <c r="M267" t="s">
        <v>16</v>
      </c>
      <c r="N267" t="s">
        <v>29</v>
      </c>
    </row>
    <row r="268" spans="13:14" x14ac:dyDescent="0.25">
      <c r="M268" t="s">
        <v>24</v>
      </c>
      <c r="N268" t="s">
        <v>23</v>
      </c>
    </row>
    <row r="269" spans="13:14" x14ac:dyDescent="0.25">
      <c r="M269" t="s">
        <v>24</v>
      </c>
      <c r="N269" t="s">
        <v>23</v>
      </c>
    </row>
    <row r="270" spans="13:14" x14ac:dyDescent="0.25">
      <c r="M270" t="s">
        <v>16</v>
      </c>
      <c r="N270" t="s">
        <v>14</v>
      </c>
    </row>
    <row r="271" spans="13:14" x14ac:dyDescent="0.25">
      <c r="M271" t="s">
        <v>39</v>
      </c>
      <c r="N271" t="s">
        <v>23</v>
      </c>
    </row>
    <row r="272" spans="13:14" x14ac:dyDescent="0.25">
      <c r="M272" t="s">
        <v>16</v>
      </c>
      <c r="N272" t="s">
        <v>14</v>
      </c>
    </row>
    <row r="273" spans="13:14" x14ac:dyDescent="0.25">
      <c r="M273" t="s">
        <v>39</v>
      </c>
      <c r="N273" t="s">
        <v>14</v>
      </c>
    </row>
    <row r="274" spans="13:14" x14ac:dyDescent="0.25">
      <c r="M274" t="s">
        <v>39</v>
      </c>
      <c r="N274" t="s">
        <v>14</v>
      </c>
    </row>
    <row r="275" spans="13:14" x14ac:dyDescent="0.25">
      <c r="M275" t="s">
        <v>39</v>
      </c>
      <c r="N275" t="s">
        <v>29</v>
      </c>
    </row>
    <row r="276" spans="13:14" x14ac:dyDescent="0.25">
      <c r="M276" t="s">
        <v>39</v>
      </c>
      <c r="N276" t="s">
        <v>29</v>
      </c>
    </row>
    <row r="277" spans="13:14" x14ac:dyDescent="0.25">
      <c r="M277" t="s">
        <v>16</v>
      </c>
      <c r="N277" t="s">
        <v>23</v>
      </c>
    </row>
    <row r="278" spans="13:14" x14ac:dyDescent="0.25">
      <c r="M278" t="s">
        <v>24</v>
      </c>
      <c r="N278" t="s">
        <v>23</v>
      </c>
    </row>
    <row r="279" spans="13:14" x14ac:dyDescent="0.25">
      <c r="M279" t="s">
        <v>24</v>
      </c>
      <c r="N279" t="s">
        <v>14</v>
      </c>
    </row>
    <row r="280" spans="13:14" x14ac:dyDescent="0.25">
      <c r="M280" t="s">
        <v>16</v>
      </c>
      <c r="N280" t="s">
        <v>29</v>
      </c>
    </row>
    <row r="281" spans="13:14" x14ac:dyDescent="0.25">
      <c r="M281" t="s">
        <v>39</v>
      </c>
      <c r="N281" t="s">
        <v>14</v>
      </c>
    </row>
    <row r="282" spans="13:14" x14ac:dyDescent="0.25">
      <c r="M282" t="s">
        <v>24</v>
      </c>
      <c r="N282" t="s">
        <v>29</v>
      </c>
    </row>
    <row r="283" spans="13:14" x14ac:dyDescent="0.25">
      <c r="M283" t="s">
        <v>16</v>
      </c>
      <c r="N283" t="s">
        <v>29</v>
      </c>
    </row>
    <row r="284" spans="13:14" x14ac:dyDescent="0.25">
      <c r="M284" t="s">
        <v>16</v>
      </c>
      <c r="N284" t="s">
        <v>29</v>
      </c>
    </row>
    <row r="285" spans="13:14" x14ac:dyDescent="0.25">
      <c r="M285" t="s">
        <v>16</v>
      </c>
      <c r="N285" t="s">
        <v>29</v>
      </c>
    </row>
    <row r="286" spans="13:14" x14ac:dyDescent="0.25">
      <c r="M286" t="s">
        <v>39</v>
      </c>
      <c r="N286" t="s">
        <v>29</v>
      </c>
    </row>
    <row r="287" spans="13:14" x14ac:dyDescent="0.25">
      <c r="M287" t="s">
        <v>16</v>
      </c>
      <c r="N287" t="s">
        <v>29</v>
      </c>
    </row>
    <row r="288" spans="13:14" x14ac:dyDescent="0.25">
      <c r="M288" t="s">
        <v>39</v>
      </c>
      <c r="N288" t="s">
        <v>23</v>
      </c>
    </row>
    <row r="289" spans="13:14" x14ac:dyDescent="0.25">
      <c r="M289" t="s">
        <v>24</v>
      </c>
      <c r="N289" t="s">
        <v>23</v>
      </c>
    </row>
    <row r="290" spans="13:14" x14ac:dyDescent="0.25">
      <c r="M290" t="s">
        <v>16</v>
      </c>
      <c r="N290" t="s">
        <v>29</v>
      </c>
    </row>
    <row r="291" spans="13:14" x14ac:dyDescent="0.25">
      <c r="M291" t="s">
        <v>39</v>
      </c>
      <c r="N291" t="s">
        <v>14</v>
      </c>
    </row>
    <row r="292" spans="13:14" x14ac:dyDescent="0.25">
      <c r="M292" t="s">
        <v>39</v>
      </c>
      <c r="N292" t="s">
        <v>23</v>
      </c>
    </row>
    <row r="293" spans="13:14" x14ac:dyDescent="0.25">
      <c r="M293" t="s">
        <v>39</v>
      </c>
      <c r="N293" t="s">
        <v>29</v>
      </c>
    </row>
    <row r="294" spans="13:14" x14ac:dyDescent="0.25">
      <c r="M294" t="s">
        <v>39</v>
      </c>
      <c r="N294" t="s">
        <v>23</v>
      </c>
    </row>
    <row r="295" spans="13:14" x14ac:dyDescent="0.25">
      <c r="M295" t="s">
        <v>24</v>
      </c>
      <c r="N295" t="s">
        <v>23</v>
      </c>
    </row>
    <row r="296" spans="13:14" x14ac:dyDescent="0.25">
      <c r="M296" t="s">
        <v>16</v>
      </c>
      <c r="N296" t="s">
        <v>14</v>
      </c>
    </row>
    <row r="297" spans="13:14" x14ac:dyDescent="0.25">
      <c r="M297" t="s">
        <v>39</v>
      </c>
      <c r="N297" t="s">
        <v>29</v>
      </c>
    </row>
    <row r="298" spans="13:14" x14ac:dyDescent="0.25">
      <c r="M298" t="s">
        <v>16</v>
      </c>
      <c r="N298" t="s">
        <v>23</v>
      </c>
    </row>
    <row r="299" spans="13:14" x14ac:dyDescent="0.25">
      <c r="M299" t="s">
        <v>16</v>
      </c>
      <c r="N299" t="s">
        <v>23</v>
      </c>
    </row>
    <row r="300" spans="13:14" x14ac:dyDescent="0.25">
      <c r="M300" t="s">
        <v>39</v>
      </c>
      <c r="N300" t="s">
        <v>14</v>
      </c>
    </row>
    <row r="301" spans="13:14" x14ac:dyDescent="0.25">
      <c r="M301" t="s">
        <v>39</v>
      </c>
      <c r="N301" t="s">
        <v>14</v>
      </c>
    </row>
    <row r="302" spans="13:14" x14ac:dyDescent="0.25">
      <c r="M302" t="s">
        <v>24</v>
      </c>
      <c r="N302" t="s">
        <v>23</v>
      </c>
    </row>
    <row r="303" spans="13:14" x14ac:dyDescent="0.25">
      <c r="M303" t="s">
        <v>16</v>
      </c>
      <c r="N303" t="s">
        <v>14</v>
      </c>
    </row>
    <row r="304" spans="13:14" x14ac:dyDescent="0.25">
      <c r="M304" t="s">
        <v>24</v>
      </c>
      <c r="N304" t="s">
        <v>29</v>
      </c>
    </row>
    <row r="305" spans="13:14" x14ac:dyDescent="0.25">
      <c r="M305" t="s">
        <v>39</v>
      </c>
      <c r="N305" t="s">
        <v>23</v>
      </c>
    </row>
    <row r="306" spans="13:14" x14ac:dyDescent="0.25">
      <c r="M306" t="s">
        <v>24</v>
      </c>
      <c r="N306" t="s">
        <v>14</v>
      </c>
    </row>
    <row r="307" spans="13:14" x14ac:dyDescent="0.25">
      <c r="M307" t="s">
        <v>16</v>
      </c>
      <c r="N307" t="s">
        <v>23</v>
      </c>
    </row>
    <row r="308" spans="13:14" x14ac:dyDescent="0.25">
      <c r="M308" t="s">
        <v>24</v>
      </c>
      <c r="N308" t="s">
        <v>29</v>
      </c>
    </row>
    <row r="309" spans="13:14" x14ac:dyDescent="0.25">
      <c r="M309" t="s">
        <v>39</v>
      </c>
      <c r="N309" t="s">
        <v>14</v>
      </c>
    </row>
    <row r="310" spans="13:14" x14ac:dyDescent="0.25">
      <c r="M310" t="s">
        <v>24</v>
      </c>
      <c r="N310" t="s">
        <v>23</v>
      </c>
    </row>
    <row r="311" spans="13:14" x14ac:dyDescent="0.25">
      <c r="M311" t="s">
        <v>24</v>
      </c>
      <c r="N311" t="s">
        <v>23</v>
      </c>
    </row>
    <row r="312" spans="13:14" x14ac:dyDescent="0.25">
      <c r="M312" t="s">
        <v>39</v>
      </c>
      <c r="N312" t="s">
        <v>29</v>
      </c>
    </row>
    <row r="313" spans="13:14" x14ac:dyDescent="0.25">
      <c r="M313" t="s">
        <v>39</v>
      </c>
      <c r="N313" t="s">
        <v>29</v>
      </c>
    </row>
    <row r="314" spans="13:14" x14ac:dyDescent="0.25">
      <c r="M314" t="s">
        <v>16</v>
      </c>
      <c r="N314" t="s">
        <v>14</v>
      </c>
    </row>
    <row r="315" spans="13:14" x14ac:dyDescent="0.25">
      <c r="M315" t="s">
        <v>39</v>
      </c>
      <c r="N315" t="s">
        <v>29</v>
      </c>
    </row>
    <row r="316" spans="13:14" x14ac:dyDescent="0.25">
      <c r="M316" t="s">
        <v>39</v>
      </c>
      <c r="N316" t="s">
        <v>14</v>
      </c>
    </row>
    <row r="317" spans="13:14" x14ac:dyDescent="0.25">
      <c r="M317" t="s">
        <v>39</v>
      </c>
      <c r="N317" t="s">
        <v>29</v>
      </c>
    </row>
    <row r="318" spans="13:14" x14ac:dyDescent="0.25">
      <c r="M318" t="s">
        <v>16</v>
      </c>
      <c r="N318" t="s">
        <v>14</v>
      </c>
    </row>
    <row r="319" spans="13:14" x14ac:dyDescent="0.25">
      <c r="M319" t="s">
        <v>16</v>
      </c>
      <c r="N319" t="s">
        <v>29</v>
      </c>
    </row>
    <row r="320" spans="13:14" x14ac:dyDescent="0.25">
      <c r="M320" t="s">
        <v>16</v>
      </c>
      <c r="N320" t="s">
        <v>29</v>
      </c>
    </row>
    <row r="321" spans="13:14" x14ac:dyDescent="0.25">
      <c r="M321" t="s">
        <v>24</v>
      </c>
      <c r="N321" t="s">
        <v>14</v>
      </c>
    </row>
    <row r="322" spans="13:14" x14ac:dyDescent="0.25">
      <c r="M322" t="s">
        <v>16</v>
      </c>
      <c r="N322" t="s">
        <v>14</v>
      </c>
    </row>
    <row r="323" spans="13:14" x14ac:dyDescent="0.25">
      <c r="M323" t="s">
        <v>24</v>
      </c>
      <c r="N323" t="s">
        <v>29</v>
      </c>
    </row>
    <row r="324" spans="13:14" x14ac:dyDescent="0.25">
      <c r="M324" t="s">
        <v>16</v>
      </c>
      <c r="N324" t="s">
        <v>14</v>
      </c>
    </row>
    <row r="325" spans="13:14" x14ac:dyDescent="0.25">
      <c r="M325" t="s">
        <v>39</v>
      </c>
      <c r="N325" t="s">
        <v>23</v>
      </c>
    </row>
    <row r="326" spans="13:14" x14ac:dyDescent="0.25">
      <c r="M326" t="s">
        <v>16</v>
      </c>
      <c r="N326" t="s">
        <v>23</v>
      </c>
    </row>
    <row r="327" spans="13:14" x14ac:dyDescent="0.25">
      <c r="M327" t="s">
        <v>24</v>
      </c>
      <c r="N327" t="s">
        <v>29</v>
      </c>
    </row>
    <row r="328" spans="13:14" x14ac:dyDescent="0.25">
      <c r="M328" t="s">
        <v>39</v>
      </c>
      <c r="N328" t="s">
        <v>29</v>
      </c>
    </row>
    <row r="329" spans="13:14" x14ac:dyDescent="0.25">
      <c r="M329" t="s">
        <v>24</v>
      </c>
      <c r="N329" t="s">
        <v>29</v>
      </c>
    </row>
    <row r="330" spans="13:14" x14ac:dyDescent="0.25">
      <c r="M330" t="s">
        <v>24</v>
      </c>
      <c r="N330" t="s">
        <v>29</v>
      </c>
    </row>
    <row r="331" spans="13:14" x14ac:dyDescent="0.25">
      <c r="M331" t="s">
        <v>16</v>
      </c>
      <c r="N331" t="s">
        <v>29</v>
      </c>
    </row>
    <row r="332" spans="13:14" x14ac:dyDescent="0.25">
      <c r="M332" t="s">
        <v>24</v>
      </c>
      <c r="N332" t="s">
        <v>29</v>
      </c>
    </row>
    <row r="333" spans="13:14" x14ac:dyDescent="0.25">
      <c r="M333" t="s">
        <v>39</v>
      </c>
      <c r="N333" t="s">
        <v>14</v>
      </c>
    </row>
    <row r="334" spans="13:14" x14ac:dyDescent="0.25">
      <c r="M334" t="s">
        <v>39</v>
      </c>
      <c r="N334" t="s">
        <v>29</v>
      </c>
    </row>
    <row r="335" spans="13:14" x14ac:dyDescent="0.25">
      <c r="M335" t="s">
        <v>24</v>
      </c>
      <c r="N335" t="s">
        <v>29</v>
      </c>
    </row>
    <row r="336" spans="13:14" x14ac:dyDescent="0.25">
      <c r="M336" t="s">
        <v>24</v>
      </c>
      <c r="N336" t="s">
        <v>29</v>
      </c>
    </row>
    <row r="337" spans="13:14" x14ac:dyDescent="0.25">
      <c r="M337" t="s">
        <v>39</v>
      </c>
      <c r="N337" t="s">
        <v>29</v>
      </c>
    </row>
    <row r="338" spans="13:14" x14ac:dyDescent="0.25">
      <c r="M338" t="s">
        <v>24</v>
      </c>
      <c r="N338" t="s">
        <v>14</v>
      </c>
    </row>
    <row r="339" spans="13:14" x14ac:dyDescent="0.25">
      <c r="M339" t="s">
        <v>24</v>
      </c>
      <c r="N339" t="s">
        <v>29</v>
      </c>
    </row>
    <row r="340" spans="13:14" x14ac:dyDescent="0.25">
      <c r="M340" t="s">
        <v>39</v>
      </c>
      <c r="N340" t="s">
        <v>29</v>
      </c>
    </row>
    <row r="341" spans="13:14" x14ac:dyDescent="0.25">
      <c r="M341" t="s">
        <v>39</v>
      </c>
      <c r="N341" t="s">
        <v>23</v>
      </c>
    </row>
    <row r="342" spans="13:14" x14ac:dyDescent="0.25">
      <c r="M342" t="s">
        <v>24</v>
      </c>
      <c r="N342" t="s">
        <v>29</v>
      </c>
    </row>
    <row r="343" spans="13:14" x14ac:dyDescent="0.25">
      <c r="M343" t="s">
        <v>24</v>
      </c>
      <c r="N343" t="s">
        <v>23</v>
      </c>
    </row>
    <row r="344" spans="13:14" x14ac:dyDescent="0.25">
      <c r="M344" t="s">
        <v>24</v>
      </c>
      <c r="N344" t="s">
        <v>23</v>
      </c>
    </row>
    <row r="345" spans="13:14" x14ac:dyDescent="0.25">
      <c r="M345" t="s">
        <v>16</v>
      </c>
      <c r="N345" t="s">
        <v>14</v>
      </c>
    </row>
    <row r="346" spans="13:14" x14ac:dyDescent="0.25">
      <c r="M346" t="s">
        <v>24</v>
      </c>
      <c r="N346" t="s">
        <v>14</v>
      </c>
    </row>
    <row r="347" spans="13:14" x14ac:dyDescent="0.25">
      <c r="M347" t="s">
        <v>16</v>
      </c>
      <c r="N347" t="s">
        <v>23</v>
      </c>
    </row>
    <row r="348" spans="13:14" x14ac:dyDescent="0.25">
      <c r="M348" t="s">
        <v>39</v>
      </c>
      <c r="N348" t="s">
        <v>23</v>
      </c>
    </row>
    <row r="349" spans="13:14" x14ac:dyDescent="0.25">
      <c r="M349" t="s">
        <v>16</v>
      </c>
      <c r="N349" t="s">
        <v>23</v>
      </c>
    </row>
    <row r="350" spans="13:14" x14ac:dyDescent="0.25">
      <c r="M350" t="s">
        <v>24</v>
      </c>
      <c r="N350" t="s">
        <v>14</v>
      </c>
    </row>
    <row r="351" spans="13:14" x14ac:dyDescent="0.25">
      <c r="M351" t="s">
        <v>16</v>
      </c>
      <c r="N351" t="s">
        <v>14</v>
      </c>
    </row>
    <row r="352" spans="13:14" x14ac:dyDescent="0.25">
      <c r="M352" t="s">
        <v>24</v>
      </c>
      <c r="N352" t="s">
        <v>29</v>
      </c>
    </row>
    <row r="353" spans="13:14" x14ac:dyDescent="0.25">
      <c r="M353" t="s">
        <v>24</v>
      </c>
      <c r="N353" t="s">
        <v>14</v>
      </c>
    </row>
    <row r="354" spans="13:14" x14ac:dyDescent="0.25">
      <c r="M354" t="s">
        <v>39</v>
      </c>
      <c r="N354" t="s">
        <v>23</v>
      </c>
    </row>
    <row r="355" spans="13:14" x14ac:dyDescent="0.25">
      <c r="M355" t="s">
        <v>16</v>
      </c>
      <c r="N355" t="s">
        <v>14</v>
      </c>
    </row>
    <row r="356" spans="13:14" x14ac:dyDescent="0.25">
      <c r="M356" t="s">
        <v>24</v>
      </c>
      <c r="N356" t="s">
        <v>14</v>
      </c>
    </row>
    <row r="357" spans="13:14" x14ac:dyDescent="0.25">
      <c r="M357" t="s">
        <v>39</v>
      </c>
      <c r="N357" t="s">
        <v>14</v>
      </c>
    </row>
    <row r="358" spans="13:14" x14ac:dyDescent="0.25">
      <c r="M358" t="s">
        <v>24</v>
      </c>
      <c r="N358" t="s">
        <v>14</v>
      </c>
    </row>
    <row r="359" spans="13:14" x14ac:dyDescent="0.25">
      <c r="M359" t="s">
        <v>39</v>
      </c>
      <c r="N359" t="s">
        <v>23</v>
      </c>
    </row>
    <row r="360" spans="13:14" x14ac:dyDescent="0.25">
      <c r="M360" t="s">
        <v>24</v>
      </c>
      <c r="N360" t="s">
        <v>23</v>
      </c>
    </row>
    <row r="361" spans="13:14" x14ac:dyDescent="0.25">
      <c r="M361" t="s">
        <v>24</v>
      </c>
      <c r="N361" t="s">
        <v>29</v>
      </c>
    </row>
    <row r="362" spans="13:14" x14ac:dyDescent="0.25">
      <c r="M362" t="s">
        <v>24</v>
      </c>
      <c r="N362" t="s">
        <v>14</v>
      </c>
    </row>
    <row r="363" spans="13:14" x14ac:dyDescent="0.25">
      <c r="M363" t="s">
        <v>39</v>
      </c>
      <c r="N363" t="s">
        <v>23</v>
      </c>
    </row>
    <row r="364" spans="13:14" x14ac:dyDescent="0.25">
      <c r="M364" t="s">
        <v>16</v>
      </c>
      <c r="N364" t="s">
        <v>29</v>
      </c>
    </row>
    <row r="365" spans="13:14" x14ac:dyDescent="0.25">
      <c r="M365" t="s">
        <v>39</v>
      </c>
      <c r="N365" t="s">
        <v>23</v>
      </c>
    </row>
    <row r="366" spans="13:14" x14ac:dyDescent="0.25">
      <c r="M366" t="s">
        <v>16</v>
      </c>
      <c r="N366" t="s">
        <v>29</v>
      </c>
    </row>
    <row r="367" spans="13:14" x14ac:dyDescent="0.25">
      <c r="M367" t="s">
        <v>24</v>
      </c>
      <c r="N367" t="s">
        <v>14</v>
      </c>
    </row>
    <row r="368" spans="13:14" x14ac:dyDescent="0.25">
      <c r="M368" t="s">
        <v>39</v>
      </c>
      <c r="N368" t="s">
        <v>23</v>
      </c>
    </row>
    <row r="369" spans="13:14" x14ac:dyDescent="0.25">
      <c r="M369" t="s">
        <v>16</v>
      </c>
      <c r="N369" t="s">
        <v>23</v>
      </c>
    </row>
    <row r="370" spans="13:14" x14ac:dyDescent="0.25">
      <c r="M370" t="s">
        <v>16</v>
      </c>
      <c r="N370" t="s">
        <v>14</v>
      </c>
    </row>
    <row r="371" spans="13:14" x14ac:dyDescent="0.25">
      <c r="M371" t="s">
        <v>16</v>
      </c>
      <c r="N371" t="s">
        <v>29</v>
      </c>
    </row>
    <row r="372" spans="13:14" x14ac:dyDescent="0.25">
      <c r="M372" t="s">
        <v>24</v>
      </c>
      <c r="N372" t="s">
        <v>14</v>
      </c>
    </row>
    <row r="373" spans="13:14" x14ac:dyDescent="0.25">
      <c r="M373" t="s">
        <v>39</v>
      </c>
      <c r="N373" t="s">
        <v>23</v>
      </c>
    </row>
    <row r="374" spans="13:14" x14ac:dyDescent="0.25">
      <c r="M374" t="s">
        <v>16</v>
      </c>
      <c r="N374" t="s">
        <v>29</v>
      </c>
    </row>
    <row r="375" spans="13:14" x14ac:dyDescent="0.25">
      <c r="M375" t="s">
        <v>39</v>
      </c>
      <c r="N375" t="s">
        <v>23</v>
      </c>
    </row>
    <row r="376" spans="13:14" x14ac:dyDescent="0.25">
      <c r="M376" t="s">
        <v>16</v>
      </c>
      <c r="N376" t="s">
        <v>14</v>
      </c>
    </row>
    <row r="377" spans="13:14" x14ac:dyDescent="0.25">
      <c r="M377" t="s">
        <v>24</v>
      </c>
      <c r="N377" t="s">
        <v>29</v>
      </c>
    </row>
    <row r="378" spans="13:14" x14ac:dyDescent="0.25">
      <c r="M378" t="s">
        <v>24</v>
      </c>
      <c r="N378" t="s">
        <v>14</v>
      </c>
    </row>
    <row r="379" spans="13:14" x14ac:dyDescent="0.25">
      <c r="M379" t="s">
        <v>16</v>
      </c>
      <c r="N379" t="s">
        <v>29</v>
      </c>
    </row>
    <row r="380" spans="13:14" x14ac:dyDescent="0.25">
      <c r="M380" t="s">
        <v>24</v>
      </c>
      <c r="N380" t="s">
        <v>14</v>
      </c>
    </row>
    <row r="381" spans="13:14" x14ac:dyDescent="0.25">
      <c r="M381" t="s">
        <v>39</v>
      </c>
      <c r="N381" t="s">
        <v>23</v>
      </c>
    </row>
    <row r="382" spans="13:14" x14ac:dyDescent="0.25">
      <c r="M382" t="s">
        <v>24</v>
      </c>
      <c r="N382" t="s">
        <v>14</v>
      </c>
    </row>
    <row r="383" spans="13:14" x14ac:dyDescent="0.25">
      <c r="M383" t="s">
        <v>24</v>
      </c>
      <c r="N383" t="s">
        <v>14</v>
      </c>
    </row>
    <row r="384" spans="13:14" x14ac:dyDescent="0.25">
      <c r="M384" t="s">
        <v>39</v>
      </c>
      <c r="N384" t="s">
        <v>29</v>
      </c>
    </row>
    <row r="385" spans="13:14" x14ac:dyDescent="0.25">
      <c r="M385" t="s">
        <v>24</v>
      </c>
      <c r="N385" t="s">
        <v>14</v>
      </c>
    </row>
    <row r="386" spans="13:14" x14ac:dyDescent="0.25">
      <c r="M386" t="s">
        <v>16</v>
      </c>
      <c r="N386" t="s">
        <v>29</v>
      </c>
    </row>
    <row r="387" spans="13:14" x14ac:dyDescent="0.25">
      <c r="M387" t="s">
        <v>24</v>
      </c>
      <c r="N387" t="s">
        <v>14</v>
      </c>
    </row>
    <row r="388" spans="13:14" x14ac:dyDescent="0.25">
      <c r="M388" t="s">
        <v>24</v>
      </c>
      <c r="N388" t="s">
        <v>29</v>
      </c>
    </row>
    <row r="389" spans="13:14" x14ac:dyDescent="0.25">
      <c r="M389" t="s">
        <v>16</v>
      </c>
      <c r="N389" t="s">
        <v>29</v>
      </c>
    </row>
    <row r="390" spans="13:14" x14ac:dyDescent="0.25">
      <c r="M390" t="s">
        <v>39</v>
      </c>
      <c r="N390" t="s">
        <v>29</v>
      </c>
    </row>
    <row r="391" spans="13:14" x14ac:dyDescent="0.25">
      <c r="M391" t="s">
        <v>39</v>
      </c>
      <c r="N391" t="s">
        <v>23</v>
      </c>
    </row>
    <row r="392" spans="13:14" x14ac:dyDescent="0.25">
      <c r="M392" t="s">
        <v>16</v>
      </c>
      <c r="N392" t="s">
        <v>14</v>
      </c>
    </row>
    <row r="393" spans="13:14" x14ac:dyDescent="0.25">
      <c r="M393" t="s">
        <v>39</v>
      </c>
      <c r="N393" t="s">
        <v>29</v>
      </c>
    </row>
    <row r="394" spans="13:14" x14ac:dyDescent="0.25">
      <c r="M394" t="s">
        <v>16</v>
      </c>
      <c r="N394" t="s">
        <v>23</v>
      </c>
    </row>
    <row r="395" spans="13:14" x14ac:dyDescent="0.25">
      <c r="M395" t="s">
        <v>16</v>
      </c>
      <c r="N395" t="s">
        <v>14</v>
      </c>
    </row>
    <row r="396" spans="13:14" x14ac:dyDescent="0.25">
      <c r="M396" t="s">
        <v>16</v>
      </c>
      <c r="N396" t="s">
        <v>14</v>
      </c>
    </row>
    <row r="397" spans="13:14" x14ac:dyDescent="0.25">
      <c r="M397" t="s">
        <v>24</v>
      </c>
      <c r="N397" t="s">
        <v>14</v>
      </c>
    </row>
    <row r="398" spans="13:14" x14ac:dyDescent="0.25">
      <c r="M398" t="s">
        <v>39</v>
      </c>
      <c r="N398" t="s">
        <v>14</v>
      </c>
    </row>
    <row r="399" spans="13:14" x14ac:dyDescent="0.25">
      <c r="M399" t="s">
        <v>16</v>
      </c>
      <c r="N399" t="s">
        <v>29</v>
      </c>
    </row>
    <row r="400" spans="13:14" x14ac:dyDescent="0.25">
      <c r="M400" t="s">
        <v>39</v>
      </c>
      <c r="N400" t="s">
        <v>14</v>
      </c>
    </row>
    <row r="401" spans="13:14" x14ac:dyDescent="0.25">
      <c r="M401" t="s">
        <v>39</v>
      </c>
      <c r="N401" t="s">
        <v>14</v>
      </c>
    </row>
    <row r="402" spans="13:14" x14ac:dyDescent="0.25">
      <c r="M402" t="s">
        <v>16</v>
      </c>
      <c r="N402" t="s">
        <v>23</v>
      </c>
    </row>
    <row r="403" spans="13:14" x14ac:dyDescent="0.25">
      <c r="M403" t="s">
        <v>39</v>
      </c>
      <c r="N403" t="s">
        <v>14</v>
      </c>
    </row>
    <row r="404" spans="13:14" x14ac:dyDescent="0.25">
      <c r="M404" t="s">
        <v>16</v>
      </c>
      <c r="N404" t="s">
        <v>14</v>
      </c>
    </row>
    <row r="405" spans="13:14" x14ac:dyDescent="0.25">
      <c r="M405" t="s">
        <v>39</v>
      </c>
      <c r="N405" t="s">
        <v>23</v>
      </c>
    </row>
    <row r="406" spans="13:14" x14ac:dyDescent="0.25">
      <c r="M406" t="s">
        <v>39</v>
      </c>
      <c r="N406" t="s">
        <v>14</v>
      </c>
    </row>
    <row r="407" spans="13:14" x14ac:dyDescent="0.25">
      <c r="M407" t="s">
        <v>39</v>
      </c>
      <c r="N407" t="s">
        <v>23</v>
      </c>
    </row>
    <row r="408" spans="13:14" x14ac:dyDescent="0.25">
      <c r="M408" t="s">
        <v>24</v>
      </c>
      <c r="N408" t="s">
        <v>23</v>
      </c>
    </row>
    <row r="409" spans="13:14" x14ac:dyDescent="0.25">
      <c r="M409" t="s">
        <v>16</v>
      </c>
      <c r="N409" t="s">
        <v>14</v>
      </c>
    </row>
    <row r="410" spans="13:14" x14ac:dyDescent="0.25">
      <c r="M410" t="s">
        <v>16</v>
      </c>
      <c r="N410" t="s">
        <v>23</v>
      </c>
    </row>
    <row r="411" spans="13:14" x14ac:dyDescent="0.25">
      <c r="M411" t="s">
        <v>39</v>
      </c>
      <c r="N411" t="s">
        <v>14</v>
      </c>
    </row>
    <row r="412" spans="13:14" x14ac:dyDescent="0.25">
      <c r="M412" t="s">
        <v>39</v>
      </c>
      <c r="N412" t="s">
        <v>29</v>
      </c>
    </row>
    <row r="413" spans="13:14" x14ac:dyDescent="0.25">
      <c r="M413" t="s">
        <v>39</v>
      </c>
      <c r="N413" t="s">
        <v>29</v>
      </c>
    </row>
    <row r="414" spans="13:14" x14ac:dyDescent="0.25">
      <c r="M414" t="s">
        <v>24</v>
      </c>
      <c r="N414" t="s">
        <v>14</v>
      </c>
    </row>
    <row r="415" spans="13:14" x14ac:dyDescent="0.25">
      <c r="M415" t="s">
        <v>16</v>
      </c>
      <c r="N415" t="s">
        <v>29</v>
      </c>
    </row>
    <row r="416" spans="13:14" x14ac:dyDescent="0.25">
      <c r="M416" t="s">
        <v>39</v>
      </c>
      <c r="N416" t="s">
        <v>29</v>
      </c>
    </row>
    <row r="417" spans="13:14" x14ac:dyDescent="0.25">
      <c r="M417" t="s">
        <v>16</v>
      </c>
      <c r="N417" t="s">
        <v>14</v>
      </c>
    </row>
    <row r="418" spans="13:14" x14ac:dyDescent="0.25">
      <c r="M418" t="s">
        <v>16</v>
      </c>
      <c r="N418" t="s">
        <v>23</v>
      </c>
    </row>
    <row r="419" spans="13:14" x14ac:dyDescent="0.25">
      <c r="M419" t="s">
        <v>39</v>
      </c>
      <c r="N419" t="s">
        <v>29</v>
      </c>
    </row>
    <row r="420" spans="13:14" x14ac:dyDescent="0.25">
      <c r="M420" t="s">
        <v>16</v>
      </c>
      <c r="N420" t="s">
        <v>29</v>
      </c>
    </row>
    <row r="421" spans="13:14" x14ac:dyDescent="0.25">
      <c r="M421" t="s">
        <v>16</v>
      </c>
      <c r="N421" t="s">
        <v>29</v>
      </c>
    </row>
    <row r="422" spans="13:14" x14ac:dyDescent="0.25">
      <c r="M422" t="s">
        <v>24</v>
      </c>
      <c r="N422" t="s">
        <v>29</v>
      </c>
    </row>
    <row r="423" spans="13:14" x14ac:dyDescent="0.25">
      <c r="M423" t="s">
        <v>24</v>
      </c>
      <c r="N423" t="s">
        <v>14</v>
      </c>
    </row>
    <row r="424" spans="13:14" x14ac:dyDescent="0.25">
      <c r="M424" t="s">
        <v>24</v>
      </c>
      <c r="N424" t="s">
        <v>14</v>
      </c>
    </row>
    <row r="425" spans="13:14" x14ac:dyDescent="0.25">
      <c r="M425" t="s">
        <v>16</v>
      </c>
      <c r="N425" t="s">
        <v>29</v>
      </c>
    </row>
    <row r="426" spans="13:14" x14ac:dyDescent="0.25">
      <c r="M426" t="s">
        <v>16</v>
      </c>
      <c r="N426" t="s">
        <v>29</v>
      </c>
    </row>
    <row r="427" spans="13:14" x14ac:dyDescent="0.25">
      <c r="M427" t="s">
        <v>24</v>
      </c>
      <c r="N427" t="s">
        <v>29</v>
      </c>
    </row>
    <row r="428" spans="13:14" x14ac:dyDescent="0.25">
      <c r="M428" t="s">
        <v>16</v>
      </c>
      <c r="N428" t="s">
        <v>14</v>
      </c>
    </row>
    <row r="429" spans="13:14" x14ac:dyDescent="0.25">
      <c r="M429" t="s">
        <v>39</v>
      </c>
      <c r="N429" t="s">
        <v>14</v>
      </c>
    </row>
    <row r="430" spans="13:14" x14ac:dyDescent="0.25">
      <c r="M430" t="s">
        <v>39</v>
      </c>
      <c r="N430" t="s">
        <v>14</v>
      </c>
    </row>
    <row r="431" spans="13:14" x14ac:dyDescent="0.25">
      <c r="M431" t="s">
        <v>39</v>
      </c>
      <c r="N431" t="s">
        <v>14</v>
      </c>
    </row>
    <row r="432" spans="13:14" x14ac:dyDescent="0.25">
      <c r="M432" t="s">
        <v>16</v>
      </c>
      <c r="N432" t="s">
        <v>23</v>
      </c>
    </row>
    <row r="433" spans="13:14" x14ac:dyDescent="0.25">
      <c r="M433" t="s">
        <v>24</v>
      </c>
      <c r="N433" t="s">
        <v>23</v>
      </c>
    </row>
    <row r="434" spans="13:14" x14ac:dyDescent="0.25">
      <c r="M434" t="s">
        <v>16</v>
      </c>
      <c r="N434" t="s">
        <v>23</v>
      </c>
    </row>
    <row r="435" spans="13:14" x14ac:dyDescent="0.25">
      <c r="M435" t="s">
        <v>16</v>
      </c>
      <c r="N435" t="s">
        <v>14</v>
      </c>
    </row>
    <row r="436" spans="13:14" x14ac:dyDescent="0.25">
      <c r="M436" t="s">
        <v>39</v>
      </c>
      <c r="N436" t="s">
        <v>29</v>
      </c>
    </row>
    <row r="437" spans="13:14" x14ac:dyDescent="0.25">
      <c r="M437" t="s">
        <v>16</v>
      </c>
      <c r="N437" t="s">
        <v>14</v>
      </c>
    </row>
    <row r="438" spans="13:14" x14ac:dyDescent="0.25">
      <c r="M438" t="s">
        <v>24</v>
      </c>
      <c r="N438" t="s">
        <v>23</v>
      </c>
    </row>
    <row r="439" spans="13:14" x14ac:dyDescent="0.25">
      <c r="M439" t="s">
        <v>16</v>
      </c>
      <c r="N439" t="s">
        <v>23</v>
      </c>
    </row>
    <row r="440" spans="13:14" x14ac:dyDescent="0.25">
      <c r="M440" t="s">
        <v>24</v>
      </c>
      <c r="N440" t="s">
        <v>29</v>
      </c>
    </row>
    <row r="441" spans="13:14" x14ac:dyDescent="0.25">
      <c r="M441" t="s">
        <v>16</v>
      </c>
      <c r="N441" t="s">
        <v>29</v>
      </c>
    </row>
    <row r="442" spans="13:14" x14ac:dyDescent="0.25">
      <c r="M442" t="s">
        <v>24</v>
      </c>
      <c r="N442" t="s">
        <v>29</v>
      </c>
    </row>
    <row r="443" spans="13:14" x14ac:dyDescent="0.25">
      <c r="M443" t="s">
        <v>39</v>
      </c>
      <c r="N443" t="s">
        <v>14</v>
      </c>
    </row>
    <row r="444" spans="13:14" x14ac:dyDescent="0.25">
      <c r="M444" t="s">
        <v>24</v>
      </c>
      <c r="N444" t="s">
        <v>14</v>
      </c>
    </row>
    <row r="445" spans="13:14" x14ac:dyDescent="0.25">
      <c r="M445" t="s">
        <v>16</v>
      </c>
      <c r="N445" t="s">
        <v>23</v>
      </c>
    </row>
    <row r="446" spans="13:14" x14ac:dyDescent="0.25">
      <c r="M446" t="s">
        <v>39</v>
      </c>
      <c r="N446" t="s">
        <v>29</v>
      </c>
    </row>
    <row r="447" spans="13:14" x14ac:dyDescent="0.25">
      <c r="M447" t="s">
        <v>16</v>
      </c>
      <c r="N447" t="s">
        <v>23</v>
      </c>
    </row>
    <row r="448" spans="13:14" x14ac:dyDescent="0.25">
      <c r="M448" t="s">
        <v>16</v>
      </c>
      <c r="N448" t="s">
        <v>29</v>
      </c>
    </row>
    <row r="449" spans="13:14" x14ac:dyDescent="0.25">
      <c r="M449" t="s">
        <v>24</v>
      </c>
      <c r="N449" t="s">
        <v>29</v>
      </c>
    </row>
    <row r="450" spans="13:14" x14ac:dyDescent="0.25">
      <c r="M450" t="s">
        <v>39</v>
      </c>
      <c r="N450" t="s">
        <v>29</v>
      </c>
    </row>
    <row r="451" spans="13:14" x14ac:dyDescent="0.25">
      <c r="M451" t="s">
        <v>24</v>
      </c>
      <c r="N451" t="s">
        <v>14</v>
      </c>
    </row>
    <row r="452" spans="13:14" x14ac:dyDescent="0.25">
      <c r="M452" t="s">
        <v>16</v>
      </c>
      <c r="N452" t="s">
        <v>23</v>
      </c>
    </row>
    <row r="453" spans="13:14" x14ac:dyDescent="0.25">
      <c r="M453" t="s">
        <v>39</v>
      </c>
      <c r="N453" t="s">
        <v>29</v>
      </c>
    </row>
    <row r="454" spans="13:14" x14ac:dyDescent="0.25">
      <c r="M454" t="s">
        <v>24</v>
      </c>
      <c r="N454" t="s">
        <v>29</v>
      </c>
    </row>
    <row r="455" spans="13:14" x14ac:dyDescent="0.25">
      <c r="M455" t="s">
        <v>39</v>
      </c>
      <c r="N455" t="s">
        <v>23</v>
      </c>
    </row>
    <row r="456" spans="13:14" x14ac:dyDescent="0.25">
      <c r="M456" t="s">
        <v>16</v>
      </c>
      <c r="N456" t="s">
        <v>14</v>
      </c>
    </row>
    <row r="457" spans="13:14" x14ac:dyDescent="0.25">
      <c r="M457" t="s">
        <v>39</v>
      </c>
      <c r="N457" t="s">
        <v>29</v>
      </c>
    </row>
    <row r="458" spans="13:14" x14ac:dyDescent="0.25">
      <c r="M458" t="s">
        <v>24</v>
      </c>
      <c r="N458" t="s">
        <v>23</v>
      </c>
    </row>
    <row r="459" spans="13:14" x14ac:dyDescent="0.25">
      <c r="M459" t="s">
        <v>39</v>
      </c>
      <c r="N459" t="s">
        <v>23</v>
      </c>
    </row>
    <row r="460" spans="13:14" x14ac:dyDescent="0.25">
      <c r="M460" t="s">
        <v>16</v>
      </c>
      <c r="N460" t="s">
        <v>14</v>
      </c>
    </row>
    <row r="461" spans="13:14" x14ac:dyDescent="0.25">
      <c r="M461" t="s">
        <v>39</v>
      </c>
      <c r="N461" t="s">
        <v>23</v>
      </c>
    </row>
    <row r="462" spans="13:14" x14ac:dyDescent="0.25">
      <c r="M462" t="s">
        <v>24</v>
      </c>
      <c r="N462" t="s">
        <v>23</v>
      </c>
    </row>
    <row r="463" spans="13:14" x14ac:dyDescent="0.25">
      <c r="M463" t="s">
        <v>24</v>
      </c>
      <c r="N463" t="s">
        <v>23</v>
      </c>
    </row>
    <row r="464" spans="13:14" x14ac:dyDescent="0.25">
      <c r="M464" t="s">
        <v>39</v>
      </c>
      <c r="N464" t="s">
        <v>14</v>
      </c>
    </row>
    <row r="465" spans="13:14" x14ac:dyDescent="0.25">
      <c r="M465" t="s">
        <v>16</v>
      </c>
      <c r="N465" t="s">
        <v>23</v>
      </c>
    </row>
    <row r="466" spans="13:14" x14ac:dyDescent="0.25">
      <c r="M466" t="s">
        <v>39</v>
      </c>
      <c r="N466" t="s">
        <v>29</v>
      </c>
    </row>
    <row r="467" spans="13:14" x14ac:dyDescent="0.25">
      <c r="M467" t="s">
        <v>24</v>
      </c>
      <c r="N467" t="s">
        <v>23</v>
      </c>
    </row>
    <row r="468" spans="13:14" x14ac:dyDescent="0.25">
      <c r="M468" t="s">
        <v>16</v>
      </c>
      <c r="N468" t="s">
        <v>14</v>
      </c>
    </row>
    <row r="469" spans="13:14" x14ac:dyDescent="0.25">
      <c r="M469" t="s">
        <v>16</v>
      </c>
      <c r="N469" t="s">
        <v>14</v>
      </c>
    </row>
    <row r="470" spans="13:14" x14ac:dyDescent="0.25">
      <c r="M470" t="s">
        <v>16</v>
      </c>
      <c r="N470" t="s">
        <v>29</v>
      </c>
    </row>
    <row r="471" spans="13:14" x14ac:dyDescent="0.25">
      <c r="M471" t="s">
        <v>24</v>
      </c>
      <c r="N471" t="s">
        <v>23</v>
      </c>
    </row>
    <row r="472" spans="13:14" x14ac:dyDescent="0.25">
      <c r="M472" t="s">
        <v>24</v>
      </c>
      <c r="N472" t="s">
        <v>14</v>
      </c>
    </row>
    <row r="473" spans="13:14" x14ac:dyDescent="0.25">
      <c r="M473" t="s">
        <v>24</v>
      </c>
      <c r="N473" t="s">
        <v>23</v>
      </c>
    </row>
    <row r="474" spans="13:14" x14ac:dyDescent="0.25">
      <c r="M474" t="s">
        <v>24</v>
      </c>
      <c r="N474" t="s">
        <v>14</v>
      </c>
    </row>
    <row r="475" spans="13:14" x14ac:dyDescent="0.25">
      <c r="M475" t="s">
        <v>16</v>
      </c>
      <c r="N475" t="s">
        <v>14</v>
      </c>
    </row>
    <row r="476" spans="13:14" x14ac:dyDescent="0.25">
      <c r="M476" t="s">
        <v>24</v>
      </c>
      <c r="N476" t="s">
        <v>23</v>
      </c>
    </row>
    <row r="477" spans="13:14" x14ac:dyDescent="0.25">
      <c r="M477" t="s">
        <v>16</v>
      </c>
      <c r="N477" t="s">
        <v>14</v>
      </c>
    </row>
    <row r="478" spans="13:14" x14ac:dyDescent="0.25">
      <c r="M478" t="s">
        <v>16</v>
      </c>
      <c r="N478" t="s">
        <v>23</v>
      </c>
    </row>
    <row r="479" spans="13:14" x14ac:dyDescent="0.25">
      <c r="M479" t="s">
        <v>24</v>
      </c>
      <c r="N479" t="s">
        <v>14</v>
      </c>
    </row>
    <row r="480" spans="13:14" x14ac:dyDescent="0.25">
      <c r="M480" t="s">
        <v>24</v>
      </c>
      <c r="N480" t="s">
        <v>29</v>
      </c>
    </row>
    <row r="481" spans="13:14" x14ac:dyDescent="0.25">
      <c r="M481" t="s">
        <v>24</v>
      </c>
      <c r="N481" t="s">
        <v>29</v>
      </c>
    </row>
    <row r="482" spans="13:14" x14ac:dyDescent="0.25">
      <c r="M482" t="s">
        <v>24</v>
      </c>
      <c r="N482" t="s">
        <v>29</v>
      </c>
    </row>
    <row r="483" spans="13:14" x14ac:dyDescent="0.25">
      <c r="M483" t="s">
        <v>16</v>
      </c>
      <c r="N483" t="s">
        <v>29</v>
      </c>
    </row>
    <row r="484" spans="13:14" x14ac:dyDescent="0.25">
      <c r="M484" t="s">
        <v>16</v>
      </c>
      <c r="N484" t="s">
        <v>29</v>
      </c>
    </row>
    <row r="485" spans="13:14" x14ac:dyDescent="0.25">
      <c r="M485" t="s">
        <v>16</v>
      </c>
      <c r="N485" t="s">
        <v>29</v>
      </c>
    </row>
    <row r="486" spans="13:14" x14ac:dyDescent="0.25">
      <c r="M486" t="s">
        <v>24</v>
      </c>
      <c r="N486" t="s">
        <v>29</v>
      </c>
    </row>
    <row r="487" spans="13:14" x14ac:dyDescent="0.25">
      <c r="M487" t="s">
        <v>39</v>
      </c>
      <c r="N487" t="s">
        <v>14</v>
      </c>
    </row>
    <row r="488" spans="13:14" x14ac:dyDescent="0.25">
      <c r="M488" t="s">
        <v>39</v>
      </c>
      <c r="N488" t="s">
        <v>23</v>
      </c>
    </row>
    <row r="489" spans="13:14" x14ac:dyDescent="0.25">
      <c r="M489" t="s">
        <v>16</v>
      </c>
      <c r="N489" t="s">
        <v>29</v>
      </c>
    </row>
    <row r="490" spans="13:14" x14ac:dyDescent="0.25">
      <c r="M490" t="s">
        <v>16</v>
      </c>
      <c r="N490" t="s">
        <v>14</v>
      </c>
    </row>
    <row r="491" spans="13:14" x14ac:dyDescent="0.25">
      <c r="M491" t="s">
        <v>24</v>
      </c>
      <c r="N491" t="s">
        <v>23</v>
      </c>
    </row>
    <row r="492" spans="13:14" x14ac:dyDescent="0.25">
      <c r="M492" t="s">
        <v>24</v>
      </c>
      <c r="N492" t="s">
        <v>14</v>
      </c>
    </row>
    <row r="493" spans="13:14" x14ac:dyDescent="0.25">
      <c r="M493" t="s">
        <v>16</v>
      </c>
      <c r="N493" t="s">
        <v>29</v>
      </c>
    </row>
    <row r="494" spans="13:14" x14ac:dyDescent="0.25">
      <c r="M494" t="s">
        <v>16</v>
      </c>
      <c r="N494" t="s">
        <v>14</v>
      </c>
    </row>
    <row r="495" spans="13:14" x14ac:dyDescent="0.25">
      <c r="M495" t="s">
        <v>24</v>
      </c>
      <c r="N495" t="s">
        <v>14</v>
      </c>
    </row>
    <row r="496" spans="13:14" x14ac:dyDescent="0.25">
      <c r="M496" t="s">
        <v>16</v>
      </c>
      <c r="N496" t="s">
        <v>14</v>
      </c>
    </row>
    <row r="497" spans="13:14" x14ac:dyDescent="0.25">
      <c r="M497" t="s">
        <v>16</v>
      </c>
      <c r="N497" t="s">
        <v>23</v>
      </c>
    </row>
    <row r="498" spans="13:14" x14ac:dyDescent="0.25">
      <c r="M498" t="s">
        <v>16</v>
      </c>
      <c r="N498" t="s">
        <v>29</v>
      </c>
    </row>
    <row r="499" spans="13:14" x14ac:dyDescent="0.25">
      <c r="M499" t="s">
        <v>16</v>
      </c>
      <c r="N499" t="s">
        <v>23</v>
      </c>
    </row>
    <row r="500" spans="13:14" x14ac:dyDescent="0.25">
      <c r="M500" t="s">
        <v>24</v>
      </c>
      <c r="N500" t="s">
        <v>29</v>
      </c>
    </row>
    <row r="501" spans="13:14" x14ac:dyDescent="0.25">
      <c r="M501" t="s">
        <v>16</v>
      </c>
      <c r="N501" t="s">
        <v>23</v>
      </c>
    </row>
    <row r="502" spans="13:14" x14ac:dyDescent="0.25">
      <c r="M502" t="s">
        <v>24</v>
      </c>
      <c r="N502" t="s">
        <v>23</v>
      </c>
    </row>
    <row r="503" spans="13:14" x14ac:dyDescent="0.25">
      <c r="M503" t="s">
        <v>39</v>
      </c>
      <c r="N503" t="s">
        <v>29</v>
      </c>
    </row>
    <row r="504" spans="13:14" x14ac:dyDescent="0.25">
      <c r="M504" t="s">
        <v>16</v>
      </c>
      <c r="N504" t="s">
        <v>23</v>
      </c>
    </row>
    <row r="505" spans="13:14" x14ac:dyDescent="0.25">
      <c r="M505" t="s">
        <v>39</v>
      </c>
      <c r="N505" t="s">
        <v>29</v>
      </c>
    </row>
    <row r="506" spans="13:14" x14ac:dyDescent="0.25">
      <c r="M506" t="s">
        <v>39</v>
      </c>
      <c r="N506" t="s">
        <v>23</v>
      </c>
    </row>
    <row r="507" spans="13:14" x14ac:dyDescent="0.25">
      <c r="M507" t="s">
        <v>24</v>
      </c>
      <c r="N507" t="s">
        <v>29</v>
      </c>
    </row>
    <row r="508" spans="13:14" x14ac:dyDescent="0.25">
      <c r="M508" t="s">
        <v>39</v>
      </c>
      <c r="N508" t="s">
        <v>14</v>
      </c>
    </row>
    <row r="509" spans="13:14" x14ac:dyDescent="0.25">
      <c r="M509" t="s">
        <v>24</v>
      </c>
      <c r="N509" t="s">
        <v>23</v>
      </c>
    </row>
    <row r="510" spans="13:14" x14ac:dyDescent="0.25">
      <c r="M510" t="s">
        <v>16</v>
      </c>
      <c r="N510" t="s">
        <v>29</v>
      </c>
    </row>
    <row r="511" spans="13:14" x14ac:dyDescent="0.25">
      <c r="M511" t="s">
        <v>24</v>
      </c>
      <c r="N511" t="s">
        <v>23</v>
      </c>
    </row>
    <row r="512" spans="13:14" x14ac:dyDescent="0.25">
      <c r="M512" t="s">
        <v>39</v>
      </c>
      <c r="N512" t="s">
        <v>23</v>
      </c>
    </row>
    <row r="513" spans="13:14" x14ac:dyDescent="0.25">
      <c r="M513" t="s">
        <v>24</v>
      </c>
      <c r="N513" t="s">
        <v>14</v>
      </c>
    </row>
    <row r="514" spans="13:14" x14ac:dyDescent="0.25">
      <c r="M514" t="s">
        <v>24</v>
      </c>
      <c r="N514" t="s">
        <v>29</v>
      </c>
    </row>
    <row r="515" spans="13:14" x14ac:dyDescent="0.25">
      <c r="M515" t="s">
        <v>24</v>
      </c>
      <c r="N515" t="s">
        <v>29</v>
      </c>
    </row>
    <row r="516" spans="13:14" x14ac:dyDescent="0.25">
      <c r="M516" t="s">
        <v>24</v>
      </c>
      <c r="N516" t="s">
        <v>29</v>
      </c>
    </row>
    <row r="517" spans="13:14" x14ac:dyDescent="0.25">
      <c r="M517" t="s">
        <v>39</v>
      </c>
      <c r="N517" t="s">
        <v>14</v>
      </c>
    </row>
    <row r="518" spans="13:14" x14ac:dyDescent="0.25">
      <c r="M518" t="s">
        <v>16</v>
      </c>
      <c r="N518" t="s">
        <v>23</v>
      </c>
    </row>
    <row r="519" spans="13:14" x14ac:dyDescent="0.25">
      <c r="M519" t="s">
        <v>24</v>
      </c>
      <c r="N519" t="s">
        <v>14</v>
      </c>
    </row>
    <row r="520" spans="13:14" x14ac:dyDescent="0.25">
      <c r="M520" t="s">
        <v>16</v>
      </c>
      <c r="N520" t="s">
        <v>29</v>
      </c>
    </row>
    <row r="521" spans="13:14" x14ac:dyDescent="0.25">
      <c r="M521" t="s">
        <v>16</v>
      </c>
      <c r="N521" t="s">
        <v>14</v>
      </c>
    </row>
    <row r="522" spans="13:14" x14ac:dyDescent="0.25">
      <c r="M522" t="s">
        <v>16</v>
      </c>
      <c r="N522" t="s">
        <v>23</v>
      </c>
    </row>
    <row r="523" spans="13:14" x14ac:dyDescent="0.25">
      <c r="M523" t="s">
        <v>16</v>
      </c>
      <c r="N523" t="s">
        <v>14</v>
      </c>
    </row>
    <row r="524" spans="13:14" x14ac:dyDescent="0.25">
      <c r="M524" t="s">
        <v>24</v>
      </c>
      <c r="N524" t="s">
        <v>14</v>
      </c>
    </row>
    <row r="525" spans="13:14" x14ac:dyDescent="0.25">
      <c r="M525" t="s">
        <v>24</v>
      </c>
      <c r="N525" t="s">
        <v>14</v>
      </c>
    </row>
    <row r="526" spans="13:14" x14ac:dyDescent="0.25">
      <c r="M526" t="s">
        <v>24</v>
      </c>
      <c r="N526" t="s">
        <v>29</v>
      </c>
    </row>
    <row r="527" spans="13:14" x14ac:dyDescent="0.25">
      <c r="M527" t="s">
        <v>24</v>
      </c>
      <c r="N527" t="s">
        <v>29</v>
      </c>
    </row>
    <row r="528" spans="13:14" x14ac:dyDescent="0.25">
      <c r="M528" t="s">
        <v>24</v>
      </c>
      <c r="N528" t="s">
        <v>14</v>
      </c>
    </row>
    <row r="529" spans="13:14" x14ac:dyDescent="0.25">
      <c r="M529" t="s">
        <v>16</v>
      </c>
      <c r="N529" t="s">
        <v>29</v>
      </c>
    </row>
    <row r="530" spans="13:14" x14ac:dyDescent="0.25">
      <c r="M530" t="s">
        <v>16</v>
      </c>
      <c r="N530" t="s">
        <v>29</v>
      </c>
    </row>
    <row r="531" spans="13:14" x14ac:dyDescent="0.25">
      <c r="M531" t="s">
        <v>16</v>
      </c>
      <c r="N531" t="s">
        <v>23</v>
      </c>
    </row>
    <row r="532" spans="13:14" x14ac:dyDescent="0.25">
      <c r="M532" t="s">
        <v>24</v>
      </c>
      <c r="N532" t="s">
        <v>29</v>
      </c>
    </row>
    <row r="533" spans="13:14" x14ac:dyDescent="0.25">
      <c r="M533" t="s">
        <v>16</v>
      </c>
      <c r="N533" t="s">
        <v>14</v>
      </c>
    </row>
    <row r="534" spans="13:14" x14ac:dyDescent="0.25">
      <c r="M534" t="s">
        <v>16</v>
      </c>
      <c r="N534" t="s">
        <v>29</v>
      </c>
    </row>
    <row r="535" spans="13:14" x14ac:dyDescent="0.25">
      <c r="M535" t="s">
        <v>39</v>
      </c>
      <c r="N535" t="s">
        <v>29</v>
      </c>
    </row>
    <row r="536" spans="13:14" x14ac:dyDescent="0.25">
      <c r="M536" t="s">
        <v>24</v>
      </c>
      <c r="N536" t="s">
        <v>23</v>
      </c>
    </row>
    <row r="537" spans="13:14" x14ac:dyDescent="0.25">
      <c r="M537" t="s">
        <v>16</v>
      </c>
      <c r="N537" t="s">
        <v>14</v>
      </c>
    </row>
    <row r="538" spans="13:14" x14ac:dyDescent="0.25">
      <c r="M538" t="s">
        <v>39</v>
      </c>
      <c r="N538" t="s">
        <v>23</v>
      </c>
    </row>
    <row r="539" spans="13:14" x14ac:dyDescent="0.25">
      <c r="M539" t="s">
        <v>16</v>
      </c>
      <c r="N539" t="s">
        <v>23</v>
      </c>
    </row>
    <row r="540" spans="13:14" x14ac:dyDescent="0.25">
      <c r="M540" t="s">
        <v>24</v>
      </c>
      <c r="N540" t="s">
        <v>23</v>
      </c>
    </row>
    <row r="541" spans="13:14" x14ac:dyDescent="0.25">
      <c r="M541" t="s">
        <v>39</v>
      </c>
      <c r="N541" t="s">
        <v>14</v>
      </c>
    </row>
    <row r="542" spans="13:14" x14ac:dyDescent="0.25">
      <c r="M542" t="s">
        <v>16</v>
      </c>
      <c r="N542" t="s">
        <v>23</v>
      </c>
    </row>
    <row r="543" spans="13:14" x14ac:dyDescent="0.25">
      <c r="M543" t="s">
        <v>24</v>
      </c>
      <c r="N543" t="s">
        <v>14</v>
      </c>
    </row>
    <row r="544" spans="13:14" x14ac:dyDescent="0.25">
      <c r="M544" t="s">
        <v>16</v>
      </c>
      <c r="N544" t="s">
        <v>29</v>
      </c>
    </row>
    <row r="545" spans="13:14" x14ac:dyDescent="0.25">
      <c r="M545" t="s">
        <v>24</v>
      </c>
      <c r="N545" t="s">
        <v>29</v>
      </c>
    </row>
    <row r="546" spans="13:14" x14ac:dyDescent="0.25">
      <c r="M546" t="s">
        <v>16</v>
      </c>
      <c r="N546" t="s">
        <v>29</v>
      </c>
    </row>
    <row r="547" spans="13:14" x14ac:dyDescent="0.25">
      <c r="M547" t="s">
        <v>24</v>
      </c>
      <c r="N547" t="s">
        <v>23</v>
      </c>
    </row>
    <row r="548" spans="13:14" x14ac:dyDescent="0.25">
      <c r="M548" t="s">
        <v>39</v>
      </c>
      <c r="N548" t="s">
        <v>29</v>
      </c>
    </row>
    <row r="549" spans="13:14" x14ac:dyDescent="0.25">
      <c r="M549" t="s">
        <v>24</v>
      </c>
      <c r="N549" t="s">
        <v>23</v>
      </c>
    </row>
    <row r="550" spans="13:14" x14ac:dyDescent="0.25">
      <c r="M550" t="s">
        <v>16</v>
      </c>
      <c r="N550" t="s">
        <v>23</v>
      </c>
    </row>
    <row r="551" spans="13:14" x14ac:dyDescent="0.25">
      <c r="M551" t="s">
        <v>39</v>
      </c>
      <c r="N551" t="s">
        <v>23</v>
      </c>
    </row>
    <row r="552" spans="13:14" x14ac:dyDescent="0.25">
      <c r="M552" t="s">
        <v>24</v>
      </c>
      <c r="N552" t="s">
        <v>23</v>
      </c>
    </row>
    <row r="553" spans="13:14" x14ac:dyDescent="0.25">
      <c r="M553" t="s">
        <v>39</v>
      </c>
      <c r="N553" t="s">
        <v>29</v>
      </c>
    </row>
    <row r="554" spans="13:14" x14ac:dyDescent="0.25">
      <c r="M554" t="s">
        <v>16</v>
      </c>
      <c r="N554" t="s">
        <v>29</v>
      </c>
    </row>
    <row r="555" spans="13:14" x14ac:dyDescent="0.25">
      <c r="M555" t="s">
        <v>16</v>
      </c>
      <c r="N555" t="s">
        <v>29</v>
      </c>
    </row>
    <row r="556" spans="13:14" x14ac:dyDescent="0.25">
      <c r="M556" t="s">
        <v>16</v>
      </c>
      <c r="N556" t="s">
        <v>29</v>
      </c>
    </row>
    <row r="557" spans="13:14" x14ac:dyDescent="0.25">
      <c r="M557" t="s">
        <v>39</v>
      </c>
      <c r="N557" t="s">
        <v>23</v>
      </c>
    </row>
    <row r="558" spans="13:14" x14ac:dyDescent="0.25">
      <c r="M558" t="s">
        <v>39</v>
      </c>
      <c r="N558" t="s">
        <v>14</v>
      </c>
    </row>
    <row r="559" spans="13:14" x14ac:dyDescent="0.25">
      <c r="M559" t="s">
        <v>16</v>
      </c>
      <c r="N559" t="s">
        <v>14</v>
      </c>
    </row>
    <row r="560" spans="13:14" x14ac:dyDescent="0.25">
      <c r="M560" t="s">
        <v>39</v>
      </c>
      <c r="N560" t="s">
        <v>23</v>
      </c>
    </row>
    <row r="561" spans="13:14" x14ac:dyDescent="0.25">
      <c r="M561" t="s">
        <v>16</v>
      </c>
      <c r="N561" t="s">
        <v>29</v>
      </c>
    </row>
    <row r="562" spans="13:14" x14ac:dyDescent="0.25">
      <c r="M562" t="s">
        <v>24</v>
      </c>
      <c r="N562" t="s">
        <v>23</v>
      </c>
    </row>
    <row r="563" spans="13:14" x14ac:dyDescent="0.25">
      <c r="M563" t="s">
        <v>39</v>
      </c>
      <c r="N563" t="s">
        <v>29</v>
      </c>
    </row>
    <row r="564" spans="13:14" x14ac:dyDescent="0.25">
      <c r="M564" t="s">
        <v>16</v>
      </c>
      <c r="N564" t="s">
        <v>23</v>
      </c>
    </row>
    <row r="565" spans="13:14" x14ac:dyDescent="0.25">
      <c r="M565" t="s">
        <v>39</v>
      </c>
      <c r="N565" t="s">
        <v>29</v>
      </c>
    </row>
    <row r="566" spans="13:14" x14ac:dyDescent="0.25">
      <c r="M566" t="s">
        <v>24</v>
      </c>
      <c r="N566" t="s">
        <v>29</v>
      </c>
    </row>
    <row r="567" spans="13:14" x14ac:dyDescent="0.25">
      <c r="M567" t="s">
        <v>39</v>
      </c>
      <c r="N567" t="s">
        <v>14</v>
      </c>
    </row>
    <row r="568" spans="13:14" x14ac:dyDescent="0.25">
      <c r="M568" t="s">
        <v>16</v>
      </c>
      <c r="N568" t="s">
        <v>14</v>
      </c>
    </row>
    <row r="569" spans="13:14" x14ac:dyDescent="0.25">
      <c r="M569" t="s">
        <v>16</v>
      </c>
      <c r="N569" t="s">
        <v>14</v>
      </c>
    </row>
    <row r="570" spans="13:14" x14ac:dyDescent="0.25">
      <c r="M570" t="s">
        <v>39</v>
      </c>
      <c r="N570" t="s">
        <v>14</v>
      </c>
    </row>
    <row r="571" spans="13:14" x14ac:dyDescent="0.25">
      <c r="M571" t="s">
        <v>24</v>
      </c>
      <c r="N571" t="s">
        <v>29</v>
      </c>
    </row>
    <row r="572" spans="13:14" x14ac:dyDescent="0.25">
      <c r="M572" t="s">
        <v>16</v>
      </c>
      <c r="N572" t="s">
        <v>29</v>
      </c>
    </row>
    <row r="573" spans="13:14" x14ac:dyDescent="0.25">
      <c r="M573" t="s">
        <v>24</v>
      </c>
      <c r="N573" t="s">
        <v>23</v>
      </c>
    </row>
    <row r="574" spans="13:14" x14ac:dyDescent="0.25">
      <c r="M574" t="s">
        <v>24</v>
      </c>
      <c r="N574" t="s">
        <v>14</v>
      </c>
    </row>
    <row r="575" spans="13:14" x14ac:dyDescent="0.25">
      <c r="M575" t="s">
        <v>16</v>
      </c>
      <c r="N575" t="s">
        <v>14</v>
      </c>
    </row>
    <row r="576" spans="13:14" x14ac:dyDescent="0.25">
      <c r="M576" t="s">
        <v>39</v>
      </c>
      <c r="N576" t="s">
        <v>29</v>
      </c>
    </row>
    <row r="577" spans="13:14" x14ac:dyDescent="0.25">
      <c r="M577" t="s">
        <v>24</v>
      </c>
      <c r="N577" t="s">
        <v>14</v>
      </c>
    </row>
    <row r="578" spans="13:14" x14ac:dyDescent="0.25">
      <c r="M578" t="s">
        <v>39</v>
      </c>
      <c r="N578" t="s">
        <v>14</v>
      </c>
    </row>
    <row r="579" spans="13:14" x14ac:dyDescent="0.25">
      <c r="M579" t="s">
        <v>24</v>
      </c>
      <c r="N579" t="s">
        <v>14</v>
      </c>
    </row>
    <row r="580" spans="13:14" x14ac:dyDescent="0.25">
      <c r="M580" t="s">
        <v>39</v>
      </c>
      <c r="N580" t="s">
        <v>14</v>
      </c>
    </row>
    <row r="581" spans="13:14" x14ac:dyDescent="0.25">
      <c r="M581" t="s">
        <v>16</v>
      </c>
      <c r="N581" t="s">
        <v>14</v>
      </c>
    </row>
    <row r="582" spans="13:14" x14ac:dyDescent="0.25">
      <c r="M582" t="s">
        <v>16</v>
      </c>
      <c r="N582" t="s">
        <v>29</v>
      </c>
    </row>
    <row r="583" spans="13:14" x14ac:dyDescent="0.25">
      <c r="M583" t="s">
        <v>24</v>
      </c>
      <c r="N583" t="s">
        <v>29</v>
      </c>
    </row>
    <row r="584" spans="13:14" x14ac:dyDescent="0.25">
      <c r="M584" t="s">
        <v>24</v>
      </c>
      <c r="N584" t="s">
        <v>29</v>
      </c>
    </row>
    <row r="585" spans="13:14" x14ac:dyDescent="0.25">
      <c r="M585" t="s">
        <v>16</v>
      </c>
      <c r="N585" t="s">
        <v>23</v>
      </c>
    </row>
    <row r="586" spans="13:14" x14ac:dyDescent="0.25">
      <c r="M586" t="s">
        <v>16</v>
      </c>
      <c r="N586" t="s">
        <v>23</v>
      </c>
    </row>
    <row r="587" spans="13:14" x14ac:dyDescent="0.25">
      <c r="M587" t="s">
        <v>24</v>
      </c>
      <c r="N587" t="s">
        <v>14</v>
      </c>
    </row>
    <row r="588" spans="13:14" x14ac:dyDescent="0.25">
      <c r="M588" t="s">
        <v>16</v>
      </c>
      <c r="N588" t="s">
        <v>23</v>
      </c>
    </row>
    <row r="589" spans="13:14" x14ac:dyDescent="0.25">
      <c r="M589" t="s">
        <v>16</v>
      </c>
      <c r="N589" t="s">
        <v>14</v>
      </c>
    </row>
    <row r="590" spans="13:14" x14ac:dyDescent="0.25">
      <c r="M590" t="s">
        <v>24</v>
      </c>
      <c r="N590" t="s">
        <v>14</v>
      </c>
    </row>
    <row r="591" spans="13:14" x14ac:dyDescent="0.25">
      <c r="M591" t="s">
        <v>24</v>
      </c>
      <c r="N591" t="s">
        <v>29</v>
      </c>
    </row>
    <row r="592" spans="13:14" x14ac:dyDescent="0.25">
      <c r="M592" t="s">
        <v>16</v>
      </c>
      <c r="N592" t="s">
        <v>14</v>
      </c>
    </row>
    <row r="593" spans="13:14" x14ac:dyDescent="0.25">
      <c r="M593" t="s">
        <v>24</v>
      </c>
      <c r="N593" t="s">
        <v>14</v>
      </c>
    </row>
    <row r="594" spans="13:14" x14ac:dyDescent="0.25">
      <c r="M594" t="s">
        <v>39</v>
      </c>
      <c r="N594" t="s">
        <v>23</v>
      </c>
    </row>
    <row r="595" spans="13:14" x14ac:dyDescent="0.25">
      <c r="M595" t="s">
        <v>39</v>
      </c>
      <c r="N595" t="s">
        <v>23</v>
      </c>
    </row>
    <row r="596" spans="13:14" x14ac:dyDescent="0.25">
      <c r="M596" t="s">
        <v>39</v>
      </c>
      <c r="N596" t="s">
        <v>14</v>
      </c>
    </row>
    <row r="597" spans="13:14" x14ac:dyDescent="0.25">
      <c r="M597" t="s">
        <v>24</v>
      </c>
      <c r="N597" t="s">
        <v>14</v>
      </c>
    </row>
    <row r="598" spans="13:14" x14ac:dyDescent="0.25">
      <c r="M598" t="s">
        <v>16</v>
      </c>
      <c r="N598" t="s">
        <v>29</v>
      </c>
    </row>
    <row r="599" spans="13:14" x14ac:dyDescent="0.25">
      <c r="M599" t="s">
        <v>39</v>
      </c>
      <c r="N599" t="s">
        <v>29</v>
      </c>
    </row>
    <row r="600" spans="13:14" x14ac:dyDescent="0.25">
      <c r="M600" t="s">
        <v>16</v>
      </c>
      <c r="N600" t="s">
        <v>23</v>
      </c>
    </row>
    <row r="601" spans="13:14" x14ac:dyDescent="0.25">
      <c r="M601" t="s">
        <v>24</v>
      </c>
      <c r="N601" t="s">
        <v>23</v>
      </c>
    </row>
    <row r="602" spans="13:14" x14ac:dyDescent="0.25">
      <c r="M602" t="s">
        <v>16</v>
      </c>
      <c r="N602" t="s">
        <v>23</v>
      </c>
    </row>
    <row r="603" spans="13:14" x14ac:dyDescent="0.25">
      <c r="M603" t="s">
        <v>24</v>
      </c>
      <c r="N603" t="s">
        <v>23</v>
      </c>
    </row>
    <row r="604" spans="13:14" x14ac:dyDescent="0.25">
      <c r="M604" t="s">
        <v>39</v>
      </c>
      <c r="N604" t="s">
        <v>29</v>
      </c>
    </row>
    <row r="605" spans="13:14" x14ac:dyDescent="0.25">
      <c r="M605" t="s">
        <v>16</v>
      </c>
      <c r="N605" t="s">
        <v>29</v>
      </c>
    </row>
    <row r="606" spans="13:14" x14ac:dyDescent="0.25">
      <c r="M606" t="s">
        <v>16</v>
      </c>
      <c r="N606" t="s">
        <v>23</v>
      </c>
    </row>
    <row r="607" spans="13:14" x14ac:dyDescent="0.25">
      <c r="M607" t="s">
        <v>16</v>
      </c>
      <c r="N607" t="s">
        <v>23</v>
      </c>
    </row>
    <row r="608" spans="13:14" x14ac:dyDescent="0.25">
      <c r="M608" t="s">
        <v>16</v>
      </c>
      <c r="N608" t="s">
        <v>29</v>
      </c>
    </row>
    <row r="609" spans="13:14" x14ac:dyDescent="0.25">
      <c r="M609" t="s">
        <v>24</v>
      </c>
      <c r="N609" t="s">
        <v>29</v>
      </c>
    </row>
    <row r="610" spans="13:14" x14ac:dyDescent="0.25">
      <c r="M610" t="s">
        <v>24</v>
      </c>
      <c r="N610" t="s">
        <v>29</v>
      </c>
    </row>
    <row r="611" spans="13:14" x14ac:dyDescent="0.25">
      <c r="M611" t="s">
        <v>39</v>
      </c>
      <c r="N611" t="s">
        <v>14</v>
      </c>
    </row>
    <row r="612" spans="13:14" x14ac:dyDescent="0.25">
      <c r="M612" t="s">
        <v>39</v>
      </c>
      <c r="N612" t="s">
        <v>29</v>
      </c>
    </row>
    <row r="613" spans="13:14" x14ac:dyDescent="0.25">
      <c r="M613" t="s">
        <v>39</v>
      </c>
      <c r="N613" t="s">
        <v>14</v>
      </c>
    </row>
    <row r="614" spans="13:14" x14ac:dyDescent="0.25">
      <c r="M614" t="s">
        <v>39</v>
      </c>
      <c r="N614" t="s">
        <v>23</v>
      </c>
    </row>
    <row r="615" spans="13:14" x14ac:dyDescent="0.25">
      <c r="M615" t="s">
        <v>39</v>
      </c>
      <c r="N615" t="s">
        <v>23</v>
      </c>
    </row>
    <row r="616" spans="13:14" x14ac:dyDescent="0.25">
      <c r="M616" t="s">
        <v>16</v>
      </c>
      <c r="N616" t="s">
        <v>29</v>
      </c>
    </row>
    <row r="617" spans="13:14" x14ac:dyDescent="0.25">
      <c r="M617" t="s">
        <v>24</v>
      </c>
      <c r="N617" t="s">
        <v>14</v>
      </c>
    </row>
    <row r="618" spans="13:14" x14ac:dyDescent="0.25">
      <c r="M618" t="s">
        <v>16</v>
      </c>
      <c r="N618" t="s">
        <v>14</v>
      </c>
    </row>
    <row r="619" spans="13:14" x14ac:dyDescent="0.25">
      <c r="M619" t="s">
        <v>24</v>
      </c>
      <c r="N619" t="s">
        <v>23</v>
      </c>
    </row>
    <row r="620" spans="13:14" x14ac:dyDescent="0.25">
      <c r="M620" t="s">
        <v>39</v>
      </c>
      <c r="N620" t="s">
        <v>29</v>
      </c>
    </row>
    <row r="621" spans="13:14" x14ac:dyDescent="0.25">
      <c r="M621" t="s">
        <v>16</v>
      </c>
      <c r="N621" t="s">
        <v>14</v>
      </c>
    </row>
    <row r="622" spans="13:14" x14ac:dyDescent="0.25">
      <c r="M622" t="s">
        <v>16</v>
      </c>
      <c r="N622" t="s">
        <v>23</v>
      </c>
    </row>
    <row r="623" spans="13:14" x14ac:dyDescent="0.25">
      <c r="M623" t="s">
        <v>24</v>
      </c>
      <c r="N623" t="s">
        <v>23</v>
      </c>
    </row>
    <row r="624" spans="13:14" x14ac:dyDescent="0.25">
      <c r="M624" t="s">
        <v>24</v>
      </c>
      <c r="N624" t="s">
        <v>23</v>
      </c>
    </row>
    <row r="625" spans="13:14" x14ac:dyDescent="0.25">
      <c r="M625" t="s">
        <v>24</v>
      </c>
      <c r="N625" t="s">
        <v>23</v>
      </c>
    </row>
    <row r="626" spans="13:14" x14ac:dyDescent="0.25">
      <c r="M626" t="s">
        <v>39</v>
      </c>
      <c r="N626" t="s">
        <v>29</v>
      </c>
    </row>
    <row r="627" spans="13:14" x14ac:dyDescent="0.25">
      <c r="M627" t="s">
        <v>24</v>
      </c>
      <c r="N627" t="s">
        <v>23</v>
      </c>
    </row>
    <row r="628" spans="13:14" x14ac:dyDescent="0.25">
      <c r="M628" t="s">
        <v>16</v>
      </c>
      <c r="N628" t="s">
        <v>14</v>
      </c>
    </row>
    <row r="629" spans="13:14" x14ac:dyDescent="0.25">
      <c r="M629" t="s">
        <v>16</v>
      </c>
      <c r="N629" t="s">
        <v>14</v>
      </c>
    </row>
    <row r="630" spans="13:14" x14ac:dyDescent="0.25">
      <c r="M630" t="s">
        <v>16</v>
      </c>
      <c r="N630" t="s">
        <v>14</v>
      </c>
    </row>
    <row r="631" spans="13:14" x14ac:dyDescent="0.25">
      <c r="M631" t="s">
        <v>39</v>
      </c>
      <c r="N631" t="s">
        <v>29</v>
      </c>
    </row>
    <row r="632" spans="13:14" x14ac:dyDescent="0.25">
      <c r="M632" t="s">
        <v>39</v>
      </c>
      <c r="N632" t="s">
        <v>23</v>
      </c>
    </row>
    <row r="633" spans="13:14" x14ac:dyDescent="0.25">
      <c r="M633" t="s">
        <v>24</v>
      </c>
      <c r="N633" t="s">
        <v>14</v>
      </c>
    </row>
    <row r="634" spans="13:14" x14ac:dyDescent="0.25">
      <c r="M634" t="s">
        <v>16</v>
      </c>
      <c r="N634" t="s">
        <v>29</v>
      </c>
    </row>
    <row r="635" spans="13:14" x14ac:dyDescent="0.25">
      <c r="M635" t="s">
        <v>24</v>
      </c>
      <c r="N635" t="s">
        <v>23</v>
      </c>
    </row>
    <row r="636" spans="13:14" x14ac:dyDescent="0.25">
      <c r="M636" t="s">
        <v>24</v>
      </c>
      <c r="N636" t="s">
        <v>29</v>
      </c>
    </row>
    <row r="637" spans="13:14" x14ac:dyDescent="0.25">
      <c r="M637" t="s">
        <v>39</v>
      </c>
      <c r="N637" t="s">
        <v>23</v>
      </c>
    </row>
    <row r="638" spans="13:14" x14ac:dyDescent="0.25">
      <c r="M638" t="s">
        <v>16</v>
      </c>
      <c r="N638" t="s">
        <v>29</v>
      </c>
    </row>
    <row r="639" spans="13:14" x14ac:dyDescent="0.25">
      <c r="M639" t="s">
        <v>39</v>
      </c>
      <c r="N639" t="s">
        <v>14</v>
      </c>
    </row>
    <row r="640" spans="13:14" x14ac:dyDescent="0.25">
      <c r="M640" t="s">
        <v>24</v>
      </c>
      <c r="N640" t="s">
        <v>14</v>
      </c>
    </row>
    <row r="641" spans="13:14" x14ac:dyDescent="0.25">
      <c r="M641" t="s">
        <v>39</v>
      </c>
      <c r="N641" t="s">
        <v>23</v>
      </c>
    </row>
    <row r="642" spans="13:14" x14ac:dyDescent="0.25">
      <c r="M642" t="s">
        <v>39</v>
      </c>
      <c r="N642" t="s">
        <v>23</v>
      </c>
    </row>
    <row r="643" spans="13:14" x14ac:dyDescent="0.25">
      <c r="M643" t="s">
        <v>24</v>
      </c>
      <c r="N643" t="s">
        <v>23</v>
      </c>
    </row>
    <row r="644" spans="13:14" x14ac:dyDescent="0.25">
      <c r="M644" t="s">
        <v>16</v>
      </c>
      <c r="N644" t="s">
        <v>14</v>
      </c>
    </row>
    <row r="645" spans="13:14" x14ac:dyDescent="0.25">
      <c r="M645" t="s">
        <v>39</v>
      </c>
      <c r="N645" t="s">
        <v>14</v>
      </c>
    </row>
    <row r="646" spans="13:14" x14ac:dyDescent="0.25">
      <c r="M646" t="s">
        <v>16</v>
      </c>
      <c r="N646" t="s">
        <v>29</v>
      </c>
    </row>
    <row r="647" spans="13:14" x14ac:dyDescent="0.25">
      <c r="M647" t="s">
        <v>24</v>
      </c>
      <c r="N647" t="s">
        <v>29</v>
      </c>
    </row>
    <row r="648" spans="13:14" x14ac:dyDescent="0.25">
      <c r="M648" t="s">
        <v>16</v>
      </c>
      <c r="N648" t="s">
        <v>23</v>
      </c>
    </row>
    <row r="649" spans="13:14" x14ac:dyDescent="0.25">
      <c r="M649" t="s">
        <v>24</v>
      </c>
      <c r="N649" t="s">
        <v>14</v>
      </c>
    </row>
    <row r="650" spans="13:14" x14ac:dyDescent="0.25">
      <c r="M650" t="s">
        <v>16</v>
      </c>
      <c r="N650" t="s">
        <v>29</v>
      </c>
    </row>
    <row r="651" spans="13:14" x14ac:dyDescent="0.25">
      <c r="M651" t="s">
        <v>24</v>
      </c>
      <c r="N651" t="s">
        <v>29</v>
      </c>
    </row>
    <row r="652" spans="13:14" x14ac:dyDescent="0.25">
      <c r="M652" t="s">
        <v>39</v>
      </c>
      <c r="N652" t="s">
        <v>14</v>
      </c>
    </row>
    <row r="653" spans="13:14" x14ac:dyDescent="0.25">
      <c r="M653" t="s">
        <v>16</v>
      </c>
      <c r="N653" t="s">
        <v>14</v>
      </c>
    </row>
    <row r="654" spans="13:14" x14ac:dyDescent="0.25">
      <c r="M654" t="s">
        <v>16</v>
      </c>
      <c r="N654" t="s">
        <v>29</v>
      </c>
    </row>
    <row r="655" spans="13:14" x14ac:dyDescent="0.25">
      <c r="M655" t="s">
        <v>16</v>
      </c>
      <c r="N655" t="s">
        <v>23</v>
      </c>
    </row>
    <row r="656" spans="13:14" x14ac:dyDescent="0.25">
      <c r="M656" t="s">
        <v>24</v>
      </c>
      <c r="N656" t="s">
        <v>23</v>
      </c>
    </row>
    <row r="657" spans="13:14" x14ac:dyDescent="0.25">
      <c r="M657" t="s">
        <v>39</v>
      </c>
      <c r="N657" t="s">
        <v>14</v>
      </c>
    </row>
    <row r="658" spans="13:14" x14ac:dyDescent="0.25">
      <c r="M658" t="s">
        <v>16</v>
      </c>
      <c r="N658" t="s">
        <v>23</v>
      </c>
    </row>
    <row r="659" spans="13:14" x14ac:dyDescent="0.25">
      <c r="M659" t="s">
        <v>16</v>
      </c>
      <c r="N659" t="s">
        <v>14</v>
      </c>
    </row>
    <row r="660" spans="13:14" x14ac:dyDescent="0.25">
      <c r="M660" t="s">
        <v>24</v>
      </c>
      <c r="N660" t="s">
        <v>14</v>
      </c>
    </row>
    <row r="661" spans="13:14" x14ac:dyDescent="0.25">
      <c r="M661" t="s">
        <v>16</v>
      </c>
      <c r="N661" t="s">
        <v>23</v>
      </c>
    </row>
    <row r="662" spans="13:14" x14ac:dyDescent="0.25">
      <c r="M662" t="s">
        <v>24</v>
      </c>
      <c r="N662" t="s">
        <v>14</v>
      </c>
    </row>
    <row r="663" spans="13:14" x14ac:dyDescent="0.25">
      <c r="M663" t="s">
        <v>16</v>
      </c>
      <c r="N663" t="s">
        <v>29</v>
      </c>
    </row>
    <row r="664" spans="13:14" x14ac:dyDescent="0.25">
      <c r="M664" t="s">
        <v>24</v>
      </c>
      <c r="N664" t="s">
        <v>29</v>
      </c>
    </row>
    <row r="665" spans="13:14" x14ac:dyDescent="0.25">
      <c r="M665" t="s">
        <v>24</v>
      </c>
      <c r="N665" t="s">
        <v>29</v>
      </c>
    </row>
    <row r="666" spans="13:14" x14ac:dyDescent="0.25">
      <c r="M666" t="s">
        <v>24</v>
      </c>
      <c r="N666" t="s">
        <v>14</v>
      </c>
    </row>
    <row r="667" spans="13:14" x14ac:dyDescent="0.25">
      <c r="M667" t="s">
        <v>39</v>
      </c>
      <c r="N667" t="s">
        <v>14</v>
      </c>
    </row>
    <row r="668" spans="13:14" x14ac:dyDescent="0.25">
      <c r="M668" t="s">
        <v>39</v>
      </c>
      <c r="N668" t="s">
        <v>23</v>
      </c>
    </row>
    <row r="669" spans="13:14" x14ac:dyDescent="0.25">
      <c r="M669" t="s">
        <v>39</v>
      </c>
      <c r="N669" t="s">
        <v>29</v>
      </c>
    </row>
    <row r="670" spans="13:14" x14ac:dyDescent="0.25">
      <c r="M670" t="s">
        <v>16</v>
      </c>
      <c r="N670" t="s">
        <v>23</v>
      </c>
    </row>
    <row r="671" spans="13:14" x14ac:dyDescent="0.25">
      <c r="M671" t="s">
        <v>16</v>
      </c>
      <c r="N671" t="s">
        <v>29</v>
      </c>
    </row>
    <row r="672" spans="13:14" x14ac:dyDescent="0.25">
      <c r="M672" t="s">
        <v>39</v>
      </c>
      <c r="N672" t="s">
        <v>14</v>
      </c>
    </row>
    <row r="673" spans="13:14" x14ac:dyDescent="0.25">
      <c r="M673" t="s">
        <v>16</v>
      </c>
      <c r="N673" t="s">
        <v>23</v>
      </c>
    </row>
    <row r="674" spans="13:14" x14ac:dyDescent="0.25">
      <c r="M674" t="s">
        <v>16</v>
      </c>
      <c r="N674" t="s">
        <v>29</v>
      </c>
    </row>
    <row r="675" spans="13:14" x14ac:dyDescent="0.25">
      <c r="M675" t="s">
        <v>39</v>
      </c>
      <c r="N675" t="s">
        <v>23</v>
      </c>
    </row>
    <row r="676" spans="13:14" x14ac:dyDescent="0.25">
      <c r="M676" t="s">
        <v>16</v>
      </c>
      <c r="N676" t="s">
        <v>23</v>
      </c>
    </row>
    <row r="677" spans="13:14" x14ac:dyDescent="0.25">
      <c r="M677" t="s">
        <v>39</v>
      </c>
      <c r="N677" t="s">
        <v>23</v>
      </c>
    </row>
    <row r="678" spans="13:14" x14ac:dyDescent="0.25">
      <c r="M678" t="s">
        <v>16</v>
      </c>
      <c r="N678" t="s">
        <v>14</v>
      </c>
    </row>
    <row r="679" spans="13:14" x14ac:dyDescent="0.25">
      <c r="M679" t="s">
        <v>16</v>
      </c>
      <c r="N679" t="s">
        <v>23</v>
      </c>
    </row>
    <row r="680" spans="13:14" x14ac:dyDescent="0.25">
      <c r="M680" t="s">
        <v>39</v>
      </c>
      <c r="N680" t="s">
        <v>29</v>
      </c>
    </row>
    <row r="681" spans="13:14" x14ac:dyDescent="0.25">
      <c r="M681" t="s">
        <v>16</v>
      </c>
      <c r="N681" t="s">
        <v>14</v>
      </c>
    </row>
    <row r="682" spans="13:14" x14ac:dyDescent="0.25">
      <c r="M682" t="s">
        <v>24</v>
      </c>
      <c r="N682" t="s">
        <v>29</v>
      </c>
    </row>
    <row r="683" spans="13:14" x14ac:dyDescent="0.25">
      <c r="M683" t="s">
        <v>39</v>
      </c>
      <c r="N683" t="s">
        <v>14</v>
      </c>
    </row>
    <row r="684" spans="13:14" x14ac:dyDescent="0.25">
      <c r="M684" t="s">
        <v>16</v>
      </c>
      <c r="N684" t="s">
        <v>23</v>
      </c>
    </row>
    <row r="685" spans="13:14" x14ac:dyDescent="0.25">
      <c r="M685" t="s">
        <v>16</v>
      </c>
      <c r="N685" t="s">
        <v>29</v>
      </c>
    </row>
    <row r="686" spans="13:14" x14ac:dyDescent="0.25">
      <c r="M686" t="s">
        <v>24</v>
      </c>
      <c r="N686" t="s">
        <v>29</v>
      </c>
    </row>
    <row r="687" spans="13:14" x14ac:dyDescent="0.25">
      <c r="M687" t="s">
        <v>24</v>
      </c>
      <c r="N687" t="s">
        <v>14</v>
      </c>
    </row>
    <row r="688" spans="13:14" x14ac:dyDescent="0.25">
      <c r="M688" t="s">
        <v>24</v>
      </c>
      <c r="N688" t="s">
        <v>23</v>
      </c>
    </row>
    <row r="689" spans="13:14" x14ac:dyDescent="0.25">
      <c r="M689" t="s">
        <v>39</v>
      </c>
      <c r="N689" t="s">
        <v>23</v>
      </c>
    </row>
    <row r="690" spans="13:14" x14ac:dyDescent="0.25">
      <c r="M690" t="s">
        <v>24</v>
      </c>
      <c r="N690" t="s">
        <v>29</v>
      </c>
    </row>
    <row r="691" spans="13:14" x14ac:dyDescent="0.25">
      <c r="M691" t="s">
        <v>24</v>
      </c>
      <c r="N691" t="s">
        <v>29</v>
      </c>
    </row>
    <row r="692" spans="13:14" x14ac:dyDescent="0.25">
      <c r="M692" t="s">
        <v>16</v>
      </c>
      <c r="N692" t="s">
        <v>14</v>
      </c>
    </row>
    <row r="693" spans="13:14" x14ac:dyDescent="0.25">
      <c r="M693" t="s">
        <v>16</v>
      </c>
      <c r="N693" t="s">
        <v>23</v>
      </c>
    </row>
    <row r="694" spans="13:14" x14ac:dyDescent="0.25">
      <c r="M694" t="s">
        <v>39</v>
      </c>
      <c r="N694" t="s">
        <v>29</v>
      </c>
    </row>
    <row r="695" spans="13:14" x14ac:dyDescent="0.25">
      <c r="M695" t="s">
        <v>39</v>
      </c>
      <c r="N695" t="s">
        <v>23</v>
      </c>
    </row>
    <row r="696" spans="13:14" x14ac:dyDescent="0.25">
      <c r="M696" t="s">
        <v>16</v>
      </c>
      <c r="N696" t="s">
        <v>14</v>
      </c>
    </row>
    <row r="697" spans="13:14" x14ac:dyDescent="0.25">
      <c r="M697" t="s">
        <v>39</v>
      </c>
      <c r="N697" t="s">
        <v>23</v>
      </c>
    </row>
    <row r="698" spans="13:14" x14ac:dyDescent="0.25">
      <c r="M698" t="s">
        <v>39</v>
      </c>
      <c r="N698" t="s">
        <v>23</v>
      </c>
    </row>
    <row r="699" spans="13:14" x14ac:dyDescent="0.25">
      <c r="M699" t="s">
        <v>39</v>
      </c>
      <c r="N699" t="s">
        <v>14</v>
      </c>
    </row>
    <row r="700" spans="13:14" x14ac:dyDescent="0.25">
      <c r="M700" t="s">
        <v>24</v>
      </c>
      <c r="N700" t="s">
        <v>29</v>
      </c>
    </row>
    <row r="701" spans="13:14" x14ac:dyDescent="0.25">
      <c r="M701" t="s">
        <v>24</v>
      </c>
      <c r="N701" t="s">
        <v>29</v>
      </c>
    </row>
    <row r="702" spans="13:14" x14ac:dyDescent="0.25">
      <c r="M702" t="s">
        <v>24</v>
      </c>
      <c r="N702" t="s">
        <v>23</v>
      </c>
    </row>
    <row r="703" spans="13:14" x14ac:dyDescent="0.25">
      <c r="M703" t="s">
        <v>39</v>
      </c>
      <c r="N703" t="s">
        <v>14</v>
      </c>
    </row>
    <row r="704" spans="13:14" x14ac:dyDescent="0.25">
      <c r="M704" t="s">
        <v>16</v>
      </c>
      <c r="N704" t="s">
        <v>29</v>
      </c>
    </row>
    <row r="705" spans="13:14" x14ac:dyDescent="0.25">
      <c r="M705" t="s">
        <v>16</v>
      </c>
      <c r="N705" t="s">
        <v>14</v>
      </c>
    </row>
    <row r="706" spans="13:14" x14ac:dyDescent="0.25">
      <c r="M706" t="s">
        <v>39</v>
      </c>
      <c r="N706" t="s">
        <v>29</v>
      </c>
    </row>
    <row r="707" spans="13:14" x14ac:dyDescent="0.25">
      <c r="M707" t="s">
        <v>16</v>
      </c>
      <c r="N707" t="s">
        <v>14</v>
      </c>
    </row>
    <row r="708" spans="13:14" x14ac:dyDescent="0.25">
      <c r="M708" t="s">
        <v>24</v>
      </c>
      <c r="N708" t="s">
        <v>29</v>
      </c>
    </row>
    <row r="709" spans="13:14" x14ac:dyDescent="0.25">
      <c r="M709" t="s">
        <v>39</v>
      </c>
      <c r="N709" t="s">
        <v>23</v>
      </c>
    </row>
    <row r="710" spans="13:14" x14ac:dyDescent="0.25">
      <c r="M710" t="s">
        <v>16</v>
      </c>
      <c r="N710" t="s">
        <v>29</v>
      </c>
    </row>
    <row r="711" spans="13:14" x14ac:dyDescent="0.25">
      <c r="M711" t="s">
        <v>24</v>
      </c>
      <c r="N711" t="s">
        <v>23</v>
      </c>
    </row>
    <row r="712" spans="13:14" x14ac:dyDescent="0.25">
      <c r="M712" t="s">
        <v>39</v>
      </c>
      <c r="N712" t="s">
        <v>29</v>
      </c>
    </row>
    <row r="713" spans="13:14" x14ac:dyDescent="0.25">
      <c r="M713" t="s">
        <v>24</v>
      </c>
      <c r="N713" t="s">
        <v>14</v>
      </c>
    </row>
    <row r="714" spans="13:14" x14ac:dyDescent="0.25">
      <c r="M714" t="s">
        <v>24</v>
      </c>
      <c r="N714" t="s">
        <v>29</v>
      </c>
    </row>
    <row r="715" spans="13:14" x14ac:dyDescent="0.25">
      <c r="M715" t="s">
        <v>24</v>
      </c>
      <c r="N715" t="s">
        <v>23</v>
      </c>
    </row>
    <row r="716" spans="13:14" x14ac:dyDescent="0.25">
      <c r="M716" t="s">
        <v>16</v>
      </c>
      <c r="N716" t="s">
        <v>29</v>
      </c>
    </row>
    <row r="717" spans="13:14" x14ac:dyDescent="0.25">
      <c r="M717" t="s">
        <v>39</v>
      </c>
      <c r="N717" t="s">
        <v>23</v>
      </c>
    </row>
    <row r="718" spans="13:14" x14ac:dyDescent="0.25">
      <c r="M718" t="s">
        <v>16</v>
      </c>
      <c r="N718" t="s">
        <v>29</v>
      </c>
    </row>
    <row r="719" spans="13:14" x14ac:dyDescent="0.25">
      <c r="M719" t="s">
        <v>16</v>
      </c>
      <c r="N719" t="s">
        <v>23</v>
      </c>
    </row>
    <row r="720" spans="13:14" x14ac:dyDescent="0.25">
      <c r="M720" t="s">
        <v>39</v>
      </c>
      <c r="N720" t="s">
        <v>14</v>
      </c>
    </row>
    <row r="721" spans="13:14" x14ac:dyDescent="0.25">
      <c r="M721" t="s">
        <v>39</v>
      </c>
      <c r="N721" t="s">
        <v>29</v>
      </c>
    </row>
    <row r="722" spans="13:14" x14ac:dyDescent="0.25">
      <c r="M722" t="s">
        <v>24</v>
      </c>
      <c r="N722" t="s">
        <v>14</v>
      </c>
    </row>
    <row r="723" spans="13:14" x14ac:dyDescent="0.25">
      <c r="M723" t="s">
        <v>39</v>
      </c>
      <c r="N723" t="s">
        <v>14</v>
      </c>
    </row>
    <row r="724" spans="13:14" x14ac:dyDescent="0.25">
      <c r="M724" t="s">
        <v>39</v>
      </c>
      <c r="N724" t="s">
        <v>29</v>
      </c>
    </row>
    <row r="725" spans="13:14" x14ac:dyDescent="0.25">
      <c r="M725" t="s">
        <v>24</v>
      </c>
      <c r="N725" t="s">
        <v>23</v>
      </c>
    </row>
    <row r="726" spans="13:14" x14ac:dyDescent="0.25">
      <c r="M726" t="s">
        <v>24</v>
      </c>
      <c r="N726" t="s">
        <v>14</v>
      </c>
    </row>
    <row r="727" spans="13:14" x14ac:dyDescent="0.25">
      <c r="M727" t="s">
        <v>16</v>
      </c>
      <c r="N727" t="s">
        <v>14</v>
      </c>
    </row>
    <row r="728" spans="13:14" x14ac:dyDescent="0.25">
      <c r="M728" t="s">
        <v>24</v>
      </c>
      <c r="N728" t="s">
        <v>14</v>
      </c>
    </row>
    <row r="729" spans="13:14" x14ac:dyDescent="0.25">
      <c r="M729" t="s">
        <v>16</v>
      </c>
      <c r="N729" t="s">
        <v>29</v>
      </c>
    </row>
    <row r="730" spans="13:14" x14ac:dyDescent="0.25">
      <c r="M730" t="s">
        <v>39</v>
      </c>
      <c r="N730" t="s">
        <v>23</v>
      </c>
    </row>
    <row r="731" spans="13:14" x14ac:dyDescent="0.25">
      <c r="M731" t="s">
        <v>24</v>
      </c>
      <c r="N731" t="s">
        <v>23</v>
      </c>
    </row>
    <row r="732" spans="13:14" x14ac:dyDescent="0.25">
      <c r="M732" t="s">
        <v>39</v>
      </c>
      <c r="N732" t="s">
        <v>23</v>
      </c>
    </row>
    <row r="733" spans="13:14" x14ac:dyDescent="0.25">
      <c r="M733" t="s">
        <v>16</v>
      </c>
      <c r="N733" t="s">
        <v>23</v>
      </c>
    </row>
    <row r="734" spans="13:14" x14ac:dyDescent="0.25">
      <c r="M734" t="s">
        <v>24</v>
      </c>
      <c r="N734" t="s">
        <v>29</v>
      </c>
    </row>
    <row r="735" spans="13:14" x14ac:dyDescent="0.25">
      <c r="M735" t="s">
        <v>39</v>
      </c>
      <c r="N735" t="s">
        <v>23</v>
      </c>
    </row>
    <row r="736" spans="13:14" x14ac:dyDescent="0.25">
      <c r="M736" t="s">
        <v>24</v>
      </c>
      <c r="N736" t="s">
        <v>29</v>
      </c>
    </row>
    <row r="737" spans="13:14" x14ac:dyDescent="0.25">
      <c r="M737" t="s">
        <v>16</v>
      </c>
      <c r="N737" t="s">
        <v>23</v>
      </c>
    </row>
    <row r="738" spans="13:14" x14ac:dyDescent="0.25">
      <c r="M738" t="s">
        <v>16</v>
      </c>
      <c r="N738" t="s">
        <v>23</v>
      </c>
    </row>
    <row r="739" spans="13:14" x14ac:dyDescent="0.25">
      <c r="M739" t="s">
        <v>16</v>
      </c>
      <c r="N739" t="s">
        <v>23</v>
      </c>
    </row>
    <row r="740" spans="13:14" x14ac:dyDescent="0.25">
      <c r="M740" t="s">
        <v>16</v>
      </c>
      <c r="N740" t="s">
        <v>29</v>
      </c>
    </row>
    <row r="741" spans="13:14" x14ac:dyDescent="0.25">
      <c r="M741" t="s">
        <v>16</v>
      </c>
      <c r="N741" t="s">
        <v>23</v>
      </c>
    </row>
    <row r="742" spans="13:14" x14ac:dyDescent="0.25">
      <c r="M742" t="s">
        <v>16</v>
      </c>
      <c r="N742" t="s">
        <v>23</v>
      </c>
    </row>
    <row r="743" spans="13:14" x14ac:dyDescent="0.25">
      <c r="M743" t="s">
        <v>39</v>
      </c>
      <c r="N743" t="s">
        <v>14</v>
      </c>
    </row>
    <row r="744" spans="13:14" x14ac:dyDescent="0.25">
      <c r="M744" t="s">
        <v>39</v>
      </c>
      <c r="N744" t="s">
        <v>23</v>
      </c>
    </row>
    <row r="745" spans="13:14" x14ac:dyDescent="0.25">
      <c r="M745" t="s">
        <v>16</v>
      </c>
      <c r="N745" t="s">
        <v>14</v>
      </c>
    </row>
    <row r="746" spans="13:14" x14ac:dyDescent="0.25">
      <c r="M746" t="s">
        <v>16</v>
      </c>
      <c r="N746" t="s">
        <v>23</v>
      </c>
    </row>
    <row r="747" spans="13:14" x14ac:dyDescent="0.25">
      <c r="M747" t="s">
        <v>24</v>
      </c>
      <c r="N747" t="s">
        <v>29</v>
      </c>
    </row>
    <row r="748" spans="13:14" x14ac:dyDescent="0.25">
      <c r="M748" t="s">
        <v>24</v>
      </c>
      <c r="N748" t="s">
        <v>29</v>
      </c>
    </row>
    <row r="749" spans="13:14" x14ac:dyDescent="0.25">
      <c r="M749" t="s">
        <v>39</v>
      </c>
      <c r="N749" t="s">
        <v>29</v>
      </c>
    </row>
    <row r="750" spans="13:14" x14ac:dyDescent="0.25">
      <c r="M750" t="s">
        <v>24</v>
      </c>
      <c r="N750" t="s">
        <v>23</v>
      </c>
    </row>
    <row r="751" spans="13:14" x14ac:dyDescent="0.25">
      <c r="M751" t="s">
        <v>16</v>
      </c>
      <c r="N751" t="s">
        <v>14</v>
      </c>
    </row>
    <row r="752" spans="13:14" x14ac:dyDescent="0.25">
      <c r="M752" t="s">
        <v>24</v>
      </c>
      <c r="N752" t="s">
        <v>29</v>
      </c>
    </row>
    <row r="753" spans="13:14" x14ac:dyDescent="0.25">
      <c r="M753" t="s">
        <v>16</v>
      </c>
      <c r="N753" t="s">
        <v>29</v>
      </c>
    </row>
    <row r="754" spans="13:14" x14ac:dyDescent="0.25">
      <c r="M754" t="s">
        <v>16</v>
      </c>
      <c r="N754" t="s">
        <v>14</v>
      </c>
    </row>
    <row r="755" spans="13:14" x14ac:dyDescent="0.25">
      <c r="M755" t="s">
        <v>39</v>
      </c>
      <c r="N755" t="s">
        <v>29</v>
      </c>
    </row>
    <row r="756" spans="13:14" x14ac:dyDescent="0.25">
      <c r="M756" t="s">
        <v>24</v>
      </c>
      <c r="N756" t="s">
        <v>14</v>
      </c>
    </row>
    <row r="757" spans="13:14" x14ac:dyDescent="0.25">
      <c r="M757" t="s">
        <v>16</v>
      </c>
      <c r="N757" t="s">
        <v>23</v>
      </c>
    </row>
    <row r="758" spans="13:14" x14ac:dyDescent="0.25">
      <c r="M758" t="s">
        <v>39</v>
      </c>
      <c r="N758" t="s">
        <v>23</v>
      </c>
    </row>
    <row r="759" spans="13:14" x14ac:dyDescent="0.25">
      <c r="M759" t="s">
        <v>24</v>
      </c>
      <c r="N759" t="s">
        <v>23</v>
      </c>
    </row>
    <row r="760" spans="13:14" x14ac:dyDescent="0.25">
      <c r="M760" t="s">
        <v>16</v>
      </c>
      <c r="N760" t="s">
        <v>14</v>
      </c>
    </row>
    <row r="761" spans="13:14" x14ac:dyDescent="0.25">
      <c r="M761" t="s">
        <v>24</v>
      </c>
      <c r="N761" t="s">
        <v>23</v>
      </c>
    </row>
    <row r="762" spans="13:14" x14ac:dyDescent="0.25">
      <c r="M762" t="s">
        <v>16</v>
      </c>
      <c r="N762" t="s">
        <v>23</v>
      </c>
    </row>
    <row r="763" spans="13:14" x14ac:dyDescent="0.25">
      <c r="M763" t="s">
        <v>16</v>
      </c>
      <c r="N763" t="s">
        <v>23</v>
      </c>
    </row>
    <row r="764" spans="13:14" x14ac:dyDescent="0.25">
      <c r="M764" t="s">
        <v>16</v>
      </c>
      <c r="N764" t="s">
        <v>23</v>
      </c>
    </row>
    <row r="765" spans="13:14" x14ac:dyDescent="0.25">
      <c r="M765" t="s">
        <v>16</v>
      </c>
      <c r="N765" t="s">
        <v>23</v>
      </c>
    </row>
    <row r="766" spans="13:14" x14ac:dyDescent="0.25">
      <c r="M766" t="s">
        <v>24</v>
      </c>
      <c r="N766" t="s">
        <v>29</v>
      </c>
    </row>
    <row r="767" spans="13:14" x14ac:dyDescent="0.25">
      <c r="M767" t="s">
        <v>24</v>
      </c>
      <c r="N767" t="s">
        <v>29</v>
      </c>
    </row>
    <row r="768" spans="13:14" x14ac:dyDescent="0.25">
      <c r="M768" t="s">
        <v>24</v>
      </c>
      <c r="N768" t="s">
        <v>14</v>
      </c>
    </row>
    <row r="769" spans="13:14" x14ac:dyDescent="0.25">
      <c r="M769" t="s">
        <v>16</v>
      </c>
      <c r="N769" t="s">
        <v>23</v>
      </c>
    </row>
    <row r="770" spans="13:14" x14ac:dyDescent="0.25">
      <c r="M770" t="s">
        <v>24</v>
      </c>
      <c r="N770" t="s">
        <v>23</v>
      </c>
    </row>
    <row r="771" spans="13:14" x14ac:dyDescent="0.25">
      <c r="M771" t="s">
        <v>39</v>
      </c>
      <c r="N771" t="s">
        <v>23</v>
      </c>
    </row>
    <row r="772" spans="13:14" x14ac:dyDescent="0.25">
      <c r="M772" t="s">
        <v>24</v>
      </c>
      <c r="N772" t="s">
        <v>23</v>
      </c>
    </row>
    <row r="773" spans="13:14" x14ac:dyDescent="0.25">
      <c r="M773" t="s">
        <v>39</v>
      </c>
      <c r="N773" t="s">
        <v>29</v>
      </c>
    </row>
    <row r="774" spans="13:14" x14ac:dyDescent="0.25">
      <c r="M774" t="s">
        <v>39</v>
      </c>
      <c r="N774" t="s">
        <v>14</v>
      </c>
    </row>
    <row r="775" spans="13:14" x14ac:dyDescent="0.25">
      <c r="M775" t="s">
        <v>39</v>
      </c>
      <c r="N775" t="s">
        <v>14</v>
      </c>
    </row>
    <row r="776" spans="13:14" x14ac:dyDescent="0.25">
      <c r="M776" t="s">
        <v>16</v>
      </c>
      <c r="N776" t="s">
        <v>29</v>
      </c>
    </row>
    <row r="777" spans="13:14" x14ac:dyDescent="0.25">
      <c r="M777" t="s">
        <v>24</v>
      </c>
      <c r="N777" t="s">
        <v>29</v>
      </c>
    </row>
    <row r="778" spans="13:14" x14ac:dyDescent="0.25">
      <c r="M778" t="s">
        <v>24</v>
      </c>
      <c r="N778" t="s">
        <v>23</v>
      </c>
    </row>
    <row r="779" spans="13:14" x14ac:dyDescent="0.25">
      <c r="M779" t="s">
        <v>16</v>
      </c>
      <c r="N779" t="s">
        <v>23</v>
      </c>
    </row>
    <row r="780" spans="13:14" x14ac:dyDescent="0.25">
      <c r="M780" t="s">
        <v>39</v>
      </c>
      <c r="N780" t="s">
        <v>23</v>
      </c>
    </row>
    <row r="781" spans="13:14" x14ac:dyDescent="0.25">
      <c r="M781" t="s">
        <v>24</v>
      </c>
      <c r="N781" t="s">
        <v>23</v>
      </c>
    </row>
    <row r="782" spans="13:14" x14ac:dyDescent="0.25">
      <c r="M782" t="s">
        <v>39</v>
      </c>
      <c r="N782" t="s">
        <v>29</v>
      </c>
    </row>
    <row r="783" spans="13:14" x14ac:dyDescent="0.25">
      <c r="M783" t="s">
        <v>24</v>
      </c>
      <c r="N783" t="s">
        <v>23</v>
      </c>
    </row>
    <row r="784" spans="13:14" x14ac:dyDescent="0.25">
      <c r="M784" t="s">
        <v>39</v>
      </c>
      <c r="N784" t="s">
        <v>23</v>
      </c>
    </row>
    <row r="785" spans="13:14" x14ac:dyDescent="0.25">
      <c r="M785" t="s">
        <v>24</v>
      </c>
      <c r="N785" t="s">
        <v>29</v>
      </c>
    </row>
    <row r="786" spans="13:14" x14ac:dyDescent="0.25">
      <c r="M786" t="s">
        <v>24</v>
      </c>
      <c r="N786" t="s">
        <v>14</v>
      </c>
    </row>
    <row r="787" spans="13:14" x14ac:dyDescent="0.25">
      <c r="M787" t="s">
        <v>24</v>
      </c>
      <c r="N787" t="s">
        <v>29</v>
      </c>
    </row>
    <row r="788" spans="13:14" x14ac:dyDescent="0.25">
      <c r="M788" t="s">
        <v>16</v>
      </c>
      <c r="N788" t="s">
        <v>29</v>
      </c>
    </row>
    <row r="789" spans="13:14" x14ac:dyDescent="0.25">
      <c r="M789" t="s">
        <v>24</v>
      </c>
      <c r="N789" t="s">
        <v>29</v>
      </c>
    </row>
    <row r="790" spans="13:14" x14ac:dyDescent="0.25">
      <c r="M790" t="s">
        <v>24</v>
      </c>
      <c r="N790" t="s">
        <v>14</v>
      </c>
    </row>
    <row r="791" spans="13:14" x14ac:dyDescent="0.25">
      <c r="M791" t="s">
        <v>16</v>
      </c>
      <c r="N791" t="s">
        <v>14</v>
      </c>
    </row>
    <row r="792" spans="13:14" x14ac:dyDescent="0.25">
      <c r="M792" t="s">
        <v>16</v>
      </c>
      <c r="N792" t="s">
        <v>23</v>
      </c>
    </row>
    <row r="793" spans="13:14" x14ac:dyDescent="0.25">
      <c r="M793" t="s">
        <v>16</v>
      </c>
      <c r="N793" t="s">
        <v>23</v>
      </c>
    </row>
    <row r="794" spans="13:14" x14ac:dyDescent="0.25">
      <c r="M794" t="s">
        <v>24</v>
      </c>
      <c r="N794" t="s">
        <v>23</v>
      </c>
    </row>
    <row r="795" spans="13:14" x14ac:dyDescent="0.25">
      <c r="M795" t="s">
        <v>16</v>
      </c>
      <c r="N795" t="s">
        <v>23</v>
      </c>
    </row>
    <row r="796" spans="13:14" x14ac:dyDescent="0.25">
      <c r="M796" t="s">
        <v>39</v>
      </c>
      <c r="N796" t="s">
        <v>23</v>
      </c>
    </row>
    <row r="797" spans="13:14" x14ac:dyDescent="0.25">
      <c r="M797" t="s">
        <v>24</v>
      </c>
      <c r="N797" t="s">
        <v>23</v>
      </c>
    </row>
    <row r="798" spans="13:14" x14ac:dyDescent="0.25">
      <c r="M798" t="s">
        <v>16</v>
      </c>
      <c r="N798" t="s">
        <v>14</v>
      </c>
    </row>
    <row r="799" spans="13:14" x14ac:dyDescent="0.25">
      <c r="M799" t="s">
        <v>16</v>
      </c>
      <c r="N799" t="s">
        <v>14</v>
      </c>
    </row>
    <row r="800" spans="13:14" x14ac:dyDescent="0.25">
      <c r="M800" t="s">
        <v>16</v>
      </c>
      <c r="N800" t="s">
        <v>23</v>
      </c>
    </row>
    <row r="801" spans="13:14" x14ac:dyDescent="0.25">
      <c r="M801" t="s">
        <v>24</v>
      </c>
      <c r="N801" t="s">
        <v>29</v>
      </c>
    </row>
    <row r="802" spans="13:14" x14ac:dyDescent="0.25">
      <c r="M802" t="s">
        <v>16</v>
      </c>
      <c r="N802" t="s">
        <v>23</v>
      </c>
    </row>
    <row r="803" spans="13:14" x14ac:dyDescent="0.25">
      <c r="M803" t="s">
        <v>24</v>
      </c>
      <c r="N803" t="s">
        <v>29</v>
      </c>
    </row>
    <row r="804" spans="13:14" x14ac:dyDescent="0.25">
      <c r="M804" t="s">
        <v>16</v>
      </c>
      <c r="N804" t="s">
        <v>23</v>
      </c>
    </row>
    <row r="805" spans="13:14" x14ac:dyDescent="0.25">
      <c r="M805" t="s">
        <v>24</v>
      </c>
      <c r="N805" t="s">
        <v>29</v>
      </c>
    </row>
    <row r="806" spans="13:14" x14ac:dyDescent="0.25">
      <c r="M806" t="s">
        <v>24</v>
      </c>
      <c r="N806" t="s">
        <v>23</v>
      </c>
    </row>
    <row r="807" spans="13:14" x14ac:dyDescent="0.25">
      <c r="M807" t="s">
        <v>39</v>
      </c>
      <c r="N807" t="s">
        <v>14</v>
      </c>
    </row>
    <row r="808" spans="13:14" x14ac:dyDescent="0.25">
      <c r="M808" t="s">
        <v>24</v>
      </c>
      <c r="N808" t="s">
        <v>23</v>
      </c>
    </row>
    <row r="809" spans="13:14" x14ac:dyDescent="0.25">
      <c r="M809" t="s">
        <v>39</v>
      </c>
      <c r="N809" t="s">
        <v>29</v>
      </c>
    </row>
    <row r="810" spans="13:14" x14ac:dyDescent="0.25">
      <c r="M810" t="s">
        <v>16</v>
      </c>
      <c r="N810" t="s">
        <v>29</v>
      </c>
    </row>
    <row r="811" spans="13:14" x14ac:dyDescent="0.25">
      <c r="M811" t="s">
        <v>24</v>
      </c>
      <c r="N811" t="s">
        <v>14</v>
      </c>
    </row>
    <row r="812" spans="13:14" x14ac:dyDescent="0.25">
      <c r="M812" t="s">
        <v>39</v>
      </c>
      <c r="N812" t="s">
        <v>29</v>
      </c>
    </row>
    <row r="813" spans="13:14" x14ac:dyDescent="0.25">
      <c r="M813" t="s">
        <v>39</v>
      </c>
      <c r="N813" t="s">
        <v>29</v>
      </c>
    </row>
    <row r="814" spans="13:14" x14ac:dyDescent="0.25">
      <c r="M814" t="s">
        <v>16</v>
      </c>
      <c r="N814" t="s">
        <v>23</v>
      </c>
    </row>
    <row r="815" spans="13:14" x14ac:dyDescent="0.25">
      <c r="M815" t="s">
        <v>24</v>
      </c>
      <c r="N815" t="s">
        <v>29</v>
      </c>
    </row>
    <row r="816" spans="13:14" x14ac:dyDescent="0.25">
      <c r="M816" t="s">
        <v>16</v>
      </c>
      <c r="N816" t="s">
        <v>14</v>
      </c>
    </row>
    <row r="817" spans="13:14" x14ac:dyDescent="0.25">
      <c r="M817" t="s">
        <v>24</v>
      </c>
      <c r="N817" t="s">
        <v>29</v>
      </c>
    </row>
    <row r="818" spans="13:14" x14ac:dyDescent="0.25">
      <c r="M818" t="s">
        <v>24</v>
      </c>
      <c r="N818" t="s">
        <v>14</v>
      </c>
    </row>
    <row r="819" spans="13:14" x14ac:dyDescent="0.25">
      <c r="M819" t="s">
        <v>39</v>
      </c>
      <c r="N819" t="s">
        <v>14</v>
      </c>
    </row>
    <row r="820" spans="13:14" x14ac:dyDescent="0.25">
      <c r="M820" t="s">
        <v>39</v>
      </c>
      <c r="N820" t="s">
        <v>14</v>
      </c>
    </row>
    <row r="821" spans="13:14" x14ac:dyDescent="0.25">
      <c r="M821" t="s">
        <v>16</v>
      </c>
      <c r="N821" t="s">
        <v>23</v>
      </c>
    </row>
    <row r="822" spans="13:14" x14ac:dyDescent="0.25">
      <c r="M822" t="s">
        <v>39</v>
      </c>
      <c r="N822" t="s">
        <v>29</v>
      </c>
    </row>
    <row r="823" spans="13:14" x14ac:dyDescent="0.25">
      <c r="M823" t="s">
        <v>16</v>
      </c>
      <c r="N823" t="s">
        <v>14</v>
      </c>
    </row>
    <row r="824" spans="13:14" x14ac:dyDescent="0.25">
      <c r="M824" t="s">
        <v>16</v>
      </c>
      <c r="N824" t="s">
        <v>23</v>
      </c>
    </row>
    <row r="825" spans="13:14" x14ac:dyDescent="0.25">
      <c r="M825" t="s">
        <v>39</v>
      </c>
      <c r="N825" t="s">
        <v>23</v>
      </c>
    </row>
    <row r="826" spans="13:14" x14ac:dyDescent="0.25">
      <c r="M826" t="s">
        <v>39</v>
      </c>
      <c r="N826" t="s">
        <v>23</v>
      </c>
    </row>
    <row r="827" spans="13:14" x14ac:dyDescent="0.25">
      <c r="M827" t="s">
        <v>24</v>
      </c>
      <c r="N827" t="s">
        <v>23</v>
      </c>
    </row>
    <row r="828" spans="13:14" x14ac:dyDescent="0.25">
      <c r="M828" t="s">
        <v>39</v>
      </c>
      <c r="N828" t="s">
        <v>14</v>
      </c>
    </row>
    <row r="829" spans="13:14" x14ac:dyDescent="0.25">
      <c r="M829" t="s">
        <v>24</v>
      </c>
      <c r="N829" t="s">
        <v>14</v>
      </c>
    </row>
    <row r="830" spans="13:14" x14ac:dyDescent="0.25">
      <c r="M830" t="s">
        <v>16</v>
      </c>
      <c r="N830" t="s">
        <v>14</v>
      </c>
    </row>
    <row r="831" spans="13:14" x14ac:dyDescent="0.25">
      <c r="M831" t="s">
        <v>16</v>
      </c>
      <c r="N831" t="s">
        <v>14</v>
      </c>
    </row>
    <row r="832" spans="13:14" x14ac:dyDescent="0.25">
      <c r="M832" t="s">
        <v>24</v>
      </c>
      <c r="N832" t="s">
        <v>29</v>
      </c>
    </row>
    <row r="833" spans="13:14" x14ac:dyDescent="0.25">
      <c r="M833" t="s">
        <v>24</v>
      </c>
      <c r="N833" t="s">
        <v>14</v>
      </c>
    </row>
    <row r="834" spans="13:14" x14ac:dyDescent="0.25">
      <c r="M834" t="s">
        <v>16</v>
      </c>
      <c r="N834" t="s">
        <v>23</v>
      </c>
    </row>
    <row r="835" spans="13:14" x14ac:dyDescent="0.25">
      <c r="M835" t="s">
        <v>16</v>
      </c>
      <c r="N835" t="s">
        <v>14</v>
      </c>
    </row>
    <row r="836" spans="13:14" x14ac:dyDescent="0.25">
      <c r="M836" t="s">
        <v>16</v>
      </c>
      <c r="N836" t="s">
        <v>14</v>
      </c>
    </row>
    <row r="837" spans="13:14" x14ac:dyDescent="0.25">
      <c r="M837" t="s">
        <v>39</v>
      </c>
      <c r="N837" t="s">
        <v>23</v>
      </c>
    </row>
    <row r="838" spans="13:14" x14ac:dyDescent="0.25">
      <c r="M838" t="s">
        <v>24</v>
      </c>
      <c r="N838" t="s">
        <v>14</v>
      </c>
    </row>
    <row r="839" spans="13:14" x14ac:dyDescent="0.25">
      <c r="M839" t="s">
        <v>39</v>
      </c>
      <c r="N839" t="s">
        <v>14</v>
      </c>
    </row>
    <row r="840" spans="13:14" x14ac:dyDescent="0.25">
      <c r="M840" t="s">
        <v>24</v>
      </c>
      <c r="N840" t="s">
        <v>29</v>
      </c>
    </row>
    <row r="841" spans="13:14" x14ac:dyDescent="0.25">
      <c r="M841" t="s">
        <v>16</v>
      </c>
      <c r="N841" t="s">
        <v>23</v>
      </c>
    </row>
    <row r="842" spans="13:14" x14ac:dyDescent="0.25">
      <c r="M842" t="s">
        <v>39</v>
      </c>
      <c r="N842" t="s">
        <v>14</v>
      </c>
    </row>
    <row r="843" spans="13:14" x14ac:dyDescent="0.25">
      <c r="M843" t="s">
        <v>39</v>
      </c>
      <c r="N843" t="s">
        <v>14</v>
      </c>
    </row>
    <row r="844" spans="13:14" x14ac:dyDescent="0.25">
      <c r="M844" t="s">
        <v>16</v>
      </c>
      <c r="N844" t="s">
        <v>23</v>
      </c>
    </row>
    <row r="845" spans="13:14" x14ac:dyDescent="0.25">
      <c r="M845" t="s">
        <v>39</v>
      </c>
      <c r="N845" t="s">
        <v>29</v>
      </c>
    </row>
    <row r="846" spans="13:14" x14ac:dyDescent="0.25">
      <c r="M846" t="s">
        <v>39</v>
      </c>
      <c r="N846" t="s">
        <v>29</v>
      </c>
    </row>
    <row r="847" spans="13:14" x14ac:dyDescent="0.25">
      <c r="M847" t="s">
        <v>24</v>
      </c>
      <c r="N847" t="s">
        <v>29</v>
      </c>
    </row>
    <row r="848" spans="13:14" x14ac:dyDescent="0.25">
      <c r="M848" t="s">
        <v>24</v>
      </c>
      <c r="N848" t="s">
        <v>14</v>
      </c>
    </row>
    <row r="849" spans="13:14" x14ac:dyDescent="0.25">
      <c r="M849" t="s">
        <v>16</v>
      </c>
      <c r="N849" t="s">
        <v>23</v>
      </c>
    </row>
    <row r="850" spans="13:14" x14ac:dyDescent="0.25">
      <c r="M850" t="s">
        <v>24</v>
      </c>
      <c r="N850" t="s">
        <v>29</v>
      </c>
    </row>
    <row r="851" spans="13:14" x14ac:dyDescent="0.25">
      <c r="M851" t="s">
        <v>24</v>
      </c>
      <c r="N851" t="s">
        <v>14</v>
      </c>
    </row>
    <row r="852" spans="13:14" x14ac:dyDescent="0.25">
      <c r="M852" t="s">
        <v>24</v>
      </c>
      <c r="N852" t="s">
        <v>29</v>
      </c>
    </row>
    <row r="853" spans="13:14" x14ac:dyDescent="0.25">
      <c r="M853" t="s">
        <v>39</v>
      </c>
      <c r="N853" t="s">
        <v>14</v>
      </c>
    </row>
    <row r="854" spans="13:14" x14ac:dyDescent="0.25">
      <c r="M854" t="s">
        <v>24</v>
      </c>
      <c r="N854" t="s">
        <v>29</v>
      </c>
    </row>
    <row r="855" spans="13:14" x14ac:dyDescent="0.25">
      <c r="M855" t="s">
        <v>24</v>
      </c>
      <c r="N855" t="s">
        <v>29</v>
      </c>
    </row>
    <row r="856" spans="13:14" x14ac:dyDescent="0.25">
      <c r="M856" t="s">
        <v>16</v>
      </c>
      <c r="N856" t="s">
        <v>14</v>
      </c>
    </row>
    <row r="857" spans="13:14" x14ac:dyDescent="0.25">
      <c r="M857" t="s">
        <v>39</v>
      </c>
      <c r="N857" t="s">
        <v>23</v>
      </c>
    </row>
    <row r="858" spans="13:14" x14ac:dyDescent="0.25">
      <c r="M858" t="s">
        <v>16</v>
      </c>
      <c r="N858" t="s">
        <v>29</v>
      </c>
    </row>
    <row r="859" spans="13:14" x14ac:dyDescent="0.25">
      <c r="M859" t="s">
        <v>39</v>
      </c>
      <c r="N859" t="s">
        <v>29</v>
      </c>
    </row>
    <row r="860" spans="13:14" x14ac:dyDescent="0.25">
      <c r="M860" t="s">
        <v>39</v>
      </c>
      <c r="N860" t="s">
        <v>23</v>
      </c>
    </row>
    <row r="861" spans="13:14" x14ac:dyDescent="0.25">
      <c r="M861" t="s">
        <v>24</v>
      </c>
      <c r="N861" t="s">
        <v>23</v>
      </c>
    </row>
    <row r="862" spans="13:14" x14ac:dyDescent="0.25">
      <c r="M862" t="s">
        <v>39</v>
      </c>
      <c r="N862" t="s">
        <v>23</v>
      </c>
    </row>
    <row r="863" spans="13:14" x14ac:dyDescent="0.25">
      <c r="M863" t="s">
        <v>16</v>
      </c>
      <c r="N863" t="s">
        <v>14</v>
      </c>
    </row>
    <row r="864" spans="13:14" x14ac:dyDescent="0.25">
      <c r="M864" t="s">
        <v>16</v>
      </c>
      <c r="N864" t="s">
        <v>14</v>
      </c>
    </row>
    <row r="865" spans="13:14" x14ac:dyDescent="0.25">
      <c r="M865" t="s">
        <v>39</v>
      </c>
      <c r="N865" t="s">
        <v>29</v>
      </c>
    </row>
    <row r="866" spans="13:14" x14ac:dyDescent="0.25">
      <c r="M866" t="s">
        <v>39</v>
      </c>
      <c r="N866" t="s">
        <v>14</v>
      </c>
    </row>
    <row r="867" spans="13:14" x14ac:dyDescent="0.25">
      <c r="M867" t="s">
        <v>39</v>
      </c>
      <c r="N867" t="s">
        <v>14</v>
      </c>
    </row>
    <row r="868" spans="13:14" x14ac:dyDescent="0.25">
      <c r="M868" t="s">
        <v>24</v>
      </c>
      <c r="N868" t="s">
        <v>29</v>
      </c>
    </row>
    <row r="869" spans="13:14" x14ac:dyDescent="0.25">
      <c r="M869" t="s">
        <v>39</v>
      </c>
      <c r="N869" t="s">
        <v>14</v>
      </c>
    </row>
    <row r="870" spans="13:14" x14ac:dyDescent="0.25">
      <c r="M870" t="s">
        <v>24</v>
      </c>
      <c r="N870" t="s">
        <v>29</v>
      </c>
    </row>
    <row r="871" spans="13:14" x14ac:dyDescent="0.25">
      <c r="M871" t="s">
        <v>24</v>
      </c>
      <c r="N871" t="s">
        <v>14</v>
      </c>
    </row>
    <row r="872" spans="13:14" x14ac:dyDescent="0.25">
      <c r="M872" t="s">
        <v>39</v>
      </c>
      <c r="N872" t="s">
        <v>29</v>
      </c>
    </row>
    <row r="873" spans="13:14" x14ac:dyDescent="0.25">
      <c r="M873" t="s">
        <v>39</v>
      </c>
      <c r="N873" t="s">
        <v>14</v>
      </c>
    </row>
    <row r="874" spans="13:14" x14ac:dyDescent="0.25">
      <c r="M874" t="s">
        <v>24</v>
      </c>
      <c r="N874" t="s">
        <v>14</v>
      </c>
    </row>
    <row r="875" spans="13:14" x14ac:dyDescent="0.25">
      <c r="M875" t="s">
        <v>39</v>
      </c>
      <c r="N875" t="s">
        <v>14</v>
      </c>
    </row>
    <row r="876" spans="13:14" x14ac:dyDescent="0.25">
      <c r="M876" t="s">
        <v>16</v>
      </c>
      <c r="N876" t="s">
        <v>23</v>
      </c>
    </row>
    <row r="877" spans="13:14" x14ac:dyDescent="0.25">
      <c r="M877" t="s">
        <v>39</v>
      </c>
      <c r="N877" t="s">
        <v>29</v>
      </c>
    </row>
    <row r="878" spans="13:14" x14ac:dyDescent="0.25">
      <c r="M878" t="s">
        <v>16</v>
      </c>
      <c r="N878" t="s">
        <v>23</v>
      </c>
    </row>
    <row r="879" spans="13:14" x14ac:dyDescent="0.25">
      <c r="M879" t="s">
        <v>24</v>
      </c>
      <c r="N879" t="s">
        <v>23</v>
      </c>
    </row>
    <row r="880" spans="13:14" x14ac:dyDescent="0.25">
      <c r="M880" t="s">
        <v>24</v>
      </c>
      <c r="N880" t="s">
        <v>14</v>
      </c>
    </row>
    <row r="881" spans="13:14" x14ac:dyDescent="0.25">
      <c r="M881" t="s">
        <v>16</v>
      </c>
      <c r="N881" t="s">
        <v>29</v>
      </c>
    </row>
    <row r="882" spans="13:14" x14ac:dyDescent="0.25">
      <c r="M882" t="s">
        <v>24</v>
      </c>
      <c r="N882" t="s">
        <v>29</v>
      </c>
    </row>
    <row r="883" spans="13:14" x14ac:dyDescent="0.25">
      <c r="M883" t="s">
        <v>24</v>
      </c>
      <c r="N883" t="s">
        <v>29</v>
      </c>
    </row>
    <row r="884" spans="13:14" x14ac:dyDescent="0.25">
      <c r="M884" t="s">
        <v>16</v>
      </c>
      <c r="N884" t="s">
        <v>23</v>
      </c>
    </row>
    <row r="885" spans="13:14" x14ac:dyDescent="0.25">
      <c r="M885" t="s">
        <v>24</v>
      </c>
      <c r="N885" t="s">
        <v>14</v>
      </c>
    </row>
    <row r="886" spans="13:14" x14ac:dyDescent="0.25">
      <c r="M886" t="s">
        <v>24</v>
      </c>
      <c r="N886" t="s">
        <v>29</v>
      </c>
    </row>
    <row r="887" spans="13:14" x14ac:dyDescent="0.25">
      <c r="M887" t="s">
        <v>24</v>
      </c>
      <c r="N887" t="s">
        <v>14</v>
      </c>
    </row>
    <row r="888" spans="13:14" x14ac:dyDescent="0.25">
      <c r="M888" t="s">
        <v>16</v>
      </c>
      <c r="N888" t="s">
        <v>14</v>
      </c>
    </row>
    <row r="889" spans="13:14" x14ac:dyDescent="0.25">
      <c r="M889" t="s">
        <v>39</v>
      </c>
      <c r="N889" t="s">
        <v>14</v>
      </c>
    </row>
    <row r="890" spans="13:14" x14ac:dyDescent="0.25">
      <c r="M890" t="s">
        <v>39</v>
      </c>
      <c r="N890" t="s">
        <v>14</v>
      </c>
    </row>
    <row r="891" spans="13:14" x14ac:dyDescent="0.25">
      <c r="M891" t="s">
        <v>16</v>
      </c>
      <c r="N891" t="s">
        <v>23</v>
      </c>
    </row>
    <row r="892" spans="13:14" x14ac:dyDescent="0.25">
      <c r="M892" t="s">
        <v>16</v>
      </c>
      <c r="N892" t="s">
        <v>14</v>
      </c>
    </row>
    <row r="893" spans="13:14" x14ac:dyDescent="0.25">
      <c r="M893" t="s">
        <v>24</v>
      </c>
      <c r="N893" t="s">
        <v>14</v>
      </c>
    </row>
    <row r="894" spans="13:14" x14ac:dyDescent="0.25">
      <c r="M894" t="s">
        <v>39</v>
      </c>
      <c r="N894" t="s">
        <v>23</v>
      </c>
    </row>
    <row r="895" spans="13:14" x14ac:dyDescent="0.25">
      <c r="M895" t="s">
        <v>24</v>
      </c>
      <c r="N895" t="s">
        <v>29</v>
      </c>
    </row>
    <row r="896" spans="13:14" x14ac:dyDescent="0.25">
      <c r="M896" t="s">
        <v>16</v>
      </c>
      <c r="N896" t="s">
        <v>29</v>
      </c>
    </row>
    <row r="897" spans="13:14" x14ac:dyDescent="0.25">
      <c r="M897" t="s">
        <v>39</v>
      </c>
      <c r="N897" t="s">
        <v>14</v>
      </c>
    </row>
    <row r="898" spans="13:14" x14ac:dyDescent="0.25">
      <c r="M898" t="s">
        <v>16</v>
      </c>
      <c r="N898" t="s">
        <v>14</v>
      </c>
    </row>
    <row r="899" spans="13:14" x14ac:dyDescent="0.25">
      <c r="M899" t="s">
        <v>16</v>
      </c>
      <c r="N899" t="s">
        <v>23</v>
      </c>
    </row>
    <row r="900" spans="13:14" x14ac:dyDescent="0.25">
      <c r="M900" t="s">
        <v>39</v>
      </c>
      <c r="N900" t="s">
        <v>14</v>
      </c>
    </row>
    <row r="901" spans="13:14" x14ac:dyDescent="0.25">
      <c r="M901" t="s">
        <v>39</v>
      </c>
      <c r="N901" t="s">
        <v>29</v>
      </c>
    </row>
    <row r="902" spans="13:14" x14ac:dyDescent="0.25">
      <c r="M902" t="s">
        <v>16</v>
      </c>
      <c r="N902" t="s">
        <v>14</v>
      </c>
    </row>
    <row r="903" spans="13:14" x14ac:dyDescent="0.25">
      <c r="M903" t="s">
        <v>16</v>
      </c>
      <c r="N903" t="s">
        <v>29</v>
      </c>
    </row>
    <row r="904" spans="13:14" x14ac:dyDescent="0.25">
      <c r="M904" t="s">
        <v>39</v>
      </c>
      <c r="N904" t="s">
        <v>14</v>
      </c>
    </row>
    <row r="905" spans="13:14" x14ac:dyDescent="0.25">
      <c r="M905" t="s">
        <v>16</v>
      </c>
      <c r="N905" t="s">
        <v>14</v>
      </c>
    </row>
    <row r="906" spans="13:14" x14ac:dyDescent="0.25">
      <c r="M906" t="s">
        <v>24</v>
      </c>
      <c r="N906" t="s">
        <v>23</v>
      </c>
    </row>
    <row r="907" spans="13:14" x14ac:dyDescent="0.25">
      <c r="M907" t="s">
        <v>39</v>
      </c>
      <c r="N907" t="s">
        <v>23</v>
      </c>
    </row>
    <row r="908" spans="13:14" x14ac:dyDescent="0.25">
      <c r="M908" t="s">
        <v>24</v>
      </c>
      <c r="N908" t="s">
        <v>23</v>
      </c>
    </row>
    <row r="909" spans="13:14" x14ac:dyDescent="0.25">
      <c r="M909" t="s">
        <v>16</v>
      </c>
      <c r="N909" t="s">
        <v>29</v>
      </c>
    </row>
    <row r="910" spans="13:14" x14ac:dyDescent="0.25">
      <c r="M910" t="s">
        <v>16</v>
      </c>
      <c r="N910" t="s">
        <v>29</v>
      </c>
    </row>
    <row r="911" spans="13:14" x14ac:dyDescent="0.25">
      <c r="M911" t="s">
        <v>16</v>
      </c>
      <c r="N911" t="s">
        <v>23</v>
      </c>
    </row>
    <row r="912" spans="13:14" x14ac:dyDescent="0.25">
      <c r="M912" t="s">
        <v>39</v>
      </c>
      <c r="N912" t="s">
        <v>14</v>
      </c>
    </row>
    <row r="913" spans="13:14" x14ac:dyDescent="0.25">
      <c r="M913" t="s">
        <v>39</v>
      </c>
      <c r="N913" t="s">
        <v>29</v>
      </c>
    </row>
    <row r="914" spans="13:14" x14ac:dyDescent="0.25">
      <c r="M914" t="s">
        <v>39</v>
      </c>
      <c r="N914" t="s">
        <v>29</v>
      </c>
    </row>
    <row r="915" spans="13:14" x14ac:dyDescent="0.25">
      <c r="M915" t="s">
        <v>16</v>
      </c>
      <c r="N915" t="s">
        <v>23</v>
      </c>
    </row>
    <row r="916" spans="13:14" x14ac:dyDescent="0.25">
      <c r="M916" t="s">
        <v>16</v>
      </c>
      <c r="N916" t="s">
        <v>23</v>
      </c>
    </row>
    <row r="917" spans="13:14" x14ac:dyDescent="0.25">
      <c r="M917" t="s">
        <v>24</v>
      </c>
      <c r="N917" t="s">
        <v>14</v>
      </c>
    </row>
    <row r="918" spans="13:14" x14ac:dyDescent="0.25">
      <c r="M918" t="s">
        <v>39</v>
      </c>
      <c r="N918" t="s">
        <v>14</v>
      </c>
    </row>
    <row r="919" spans="13:14" x14ac:dyDescent="0.25">
      <c r="M919" t="s">
        <v>24</v>
      </c>
      <c r="N919" t="s">
        <v>23</v>
      </c>
    </row>
    <row r="920" spans="13:14" x14ac:dyDescent="0.25">
      <c r="M920" t="s">
        <v>39</v>
      </c>
      <c r="N920" t="s">
        <v>23</v>
      </c>
    </row>
    <row r="921" spans="13:14" x14ac:dyDescent="0.25">
      <c r="M921" t="s">
        <v>24</v>
      </c>
      <c r="N921" t="s">
        <v>29</v>
      </c>
    </row>
    <row r="922" spans="13:14" x14ac:dyDescent="0.25">
      <c r="M922" t="s">
        <v>24</v>
      </c>
      <c r="N922" t="s">
        <v>14</v>
      </c>
    </row>
    <row r="923" spans="13:14" x14ac:dyDescent="0.25">
      <c r="M923" t="s">
        <v>39</v>
      </c>
      <c r="N923" t="s">
        <v>29</v>
      </c>
    </row>
    <row r="924" spans="13:14" x14ac:dyDescent="0.25">
      <c r="M924" t="s">
        <v>39</v>
      </c>
      <c r="N924" t="s">
        <v>29</v>
      </c>
    </row>
    <row r="925" spans="13:14" x14ac:dyDescent="0.25">
      <c r="M925" t="s">
        <v>24</v>
      </c>
      <c r="N925" t="s">
        <v>23</v>
      </c>
    </row>
    <row r="926" spans="13:14" x14ac:dyDescent="0.25">
      <c r="M926" t="s">
        <v>16</v>
      </c>
      <c r="N926" t="s">
        <v>29</v>
      </c>
    </row>
    <row r="927" spans="13:14" x14ac:dyDescent="0.25">
      <c r="M927" t="s">
        <v>39</v>
      </c>
      <c r="N927" t="s">
        <v>23</v>
      </c>
    </row>
    <row r="928" spans="13:14" x14ac:dyDescent="0.25">
      <c r="M928" t="s">
        <v>16</v>
      </c>
      <c r="N928" t="s">
        <v>29</v>
      </c>
    </row>
    <row r="929" spans="13:14" x14ac:dyDescent="0.25">
      <c r="M929" t="s">
        <v>16</v>
      </c>
      <c r="N929" t="s">
        <v>29</v>
      </c>
    </row>
    <row r="930" spans="13:14" x14ac:dyDescent="0.25">
      <c r="M930" t="s">
        <v>16</v>
      </c>
      <c r="N930" t="s">
        <v>14</v>
      </c>
    </row>
    <row r="931" spans="13:14" x14ac:dyDescent="0.25">
      <c r="M931" t="s">
        <v>16</v>
      </c>
      <c r="N931" t="s">
        <v>29</v>
      </c>
    </row>
    <row r="932" spans="13:14" x14ac:dyDescent="0.25">
      <c r="M932" t="s">
        <v>24</v>
      </c>
      <c r="N932" t="s">
        <v>29</v>
      </c>
    </row>
    <row r="933" spans="13:14" x14ac:dyDescent="0.25">
      <c r="M933" t="s">
        <v>39</v>
      </c>
      <c r="N933" t="s">
        <v>29</v>
      </c>
    </row>
    <row r="934" spans="13:14" x14ac:dyDescent="0.25">
      <c r="M934" t="s">
        <v>24</v>
      </c>
      <c r="N934" t="s">
        <v>23</v>
      </c>
    </row>
    <row r="935" spans="13:14" x14ac:dyDescent="0.25">
      <c r="M935" t="s">
        <v>16</v>
      </c>
      <c r="N935" t="s">
        <v>14</v>
      </c>
    </row>
    <row r="936" spans="13:14" x14ac:dyDescent="0.25">
      <c r="M936" t="s">
        <v>16</v>
      </c>
      <c r="N936" t="s">
        <v>29</v>
      </c>
    </row>
    <row r="937" spans="13:14" x14ac:dyDescent="0.25">
      <c r="M937" t="s">
        <v>24</v>
      </c>
      <c r="N937" t="s">
        <v>14</v>
      </c>
    </row>
    <row r="938" spans="13:14" x14ac:dyDescent="0.25">
      <c r="M938" t="s">
        <v>24</v>
      </c>
      <c r="N938" t="s">
        <v>14</v>
      </c>
    </row>
    <row r="939" spans="13:14" x14ac:dyDescent="0.25">
      <c r="M939" t="s">
        <v>16</v>
      </c>
      <c r="N939" t="s">
        <v>14</v>
      </c>
    </row>
    <row r="940" spans="13:14" x14ac:dyDescent="0.25">
      <c r="M940" t="s">
        <v>16</v>
      </c>
      <c r="N940" t="s">
        <v>29</v>
      </c>
    </row>
    <row r="941" spans="13:14" x14ac:dyDescent="0.25">
      <c r="M941" t="s">
        <v>16</v>
      </c>
      <c r="N941" t="s">
        <v>14</v>
      </c>
    </row>
    <row r="942" spans="13:14" x14ac:dyDescent="0.25">
      <c r="M942" t="s">
        <v>39</v>
      </c>
      <c r="N942" t="s">
        <v>14</v>
      </c>
    </row>
    <row r="943" spans="13:14" x14ac:dyDescent="0.25">
      <c r="M943" t="s">
        <v>39</v>
      </c>
      <c r="N943" t="s">
        <v>29</v>
      </c>
    </row>
    <row r="944" spans="13:14" x14ac:dyDescent="0.25">
      <c r="M944" t="s">
        <v>24</v>
      </c>
      <c r="N944" t="s">
        <v>23</v>
      </c>
    </row>
    <row r="945" spans="13:14" x14ac:dyDescent="0.25">
      <c r="M945" t="s">
        <v>24</v>
      </c>
      <c r="N945" t="s">
        <v>29</v>
      </c>
    </row>
    <row r="946" spans="13:14" x14ac:dyDescent="0.25">
      <c r="M946" t="s">
        <v>24</v>
      </c>
      <c r="N946" t="s">
        <v>29</v>
      </c>
    </row>
    <row r="947" spans="13:14" x14ac:dyDescent="0.25">
      <c r="M947" t="s">
        <v>24</v>
      </c>
      <c r="N947" t="s">
        <v>23</v>
      </c>
    </row>
    <row r="948" spans="13:14" x14ac:dyDescent="0.25">
      <c r="M948" t="s">
        <v>24</v>
      </c>
      <c r="N948" t="s">
        <v>14</v>
      </c>
    </row>
    <row r="949" spans="13:14" x14ac:dyDescent="0.25">
      <c r="M949" t="s">
        <v>16</v>
      </c>
      <c r="N949" t="s">
        <v>29</v>
      </c>
    </row>
    <row r="950" spans="13:14" x14ac:dyDescent="0.25">
      <c r="M950" t="s">
        <v>16</v>
      </c>
      <c r="N950" t="s">
        <v>14</v>
      </c>
    </row>
    <row r="951" spans="13:14" x14ac:dyDescent="0.25">
      <c r="M951" t="s">
        <v>24</v>
      </c>
      <c r="N951" t="s">
        <v>14</v>
      </c>
    </row>
    <row r="952" spans="13:14" x14ac:dyDescent="0.25">
      <c r="M952" t="s">
        <v>24</v>
      </c>
      <c r="N952" t="s">
        <v>29</v>
      </c>
    </row>
    <row r="953" spans="13:14" x14ac:dyDescent="0.25">
      <c r="M953" t="s">
        <v>24</v>
      </c>
      <c r="N953" t="s">
        <v>29</v>
      </c>
    </row>
    <row r="954" spans="13:14" x14ac:dyDescent="0.25">
      <c r="M954" t="s">
        <v>16</v>
      </c>
      <c r="N954" t="s">
        <v>23</v>
      </c>
    </row>
    <row r="955" spans="13:14" x14ac:dyDescent="0.25">
      <c r="M955" t="s">
        <v>16</v>
      </c>
      <c r="N955" t="s">
        <v>23</v>
      </c>
    </row>
    <row r="956" spans="13:14" x14ac:dyDescent="0.25">
      <c r="M956" t="s">
        <v>39</v>
      </c>
      <c r="N956" t="s">
        <v>23</v>
      </c>
    </row>
    <row r="957" spans="13:14" x14ac:dyDescent="0.25">
      <c r="M957" t="s">
        <v>24</v>
      </c>
      <c r="N957" t="s">
        <v>14</v>
      </c>
    </row>
    <row r="958" spans="13:14" x14ac:dyDescent="0.25">
      <c r="M958" t="s">
        <v>16</v>
      </c>
      <c r="N958" t="s">
        <v>23</v>
      </c>
    </row>
    <row r="959" spans="13:14" x14ac:dyDescent="0.25">
      <c r="M959" t="s">
        <v>39</v>
      </c>
      <c r="N959" t="s">
        <v>23</v>
      </c>
    </row>
    <row r="960" spans="13:14" x14ac:dyDescent="0.25">
      <c r="M960" t="s">
        <v>24</v>
      </c>
      <c r="N960" t="s">
        <v>23</v>
      </c>
    </row>
    <row r="961" spans="13:14" x14ac:dyDescent="0.25">
      <c r="M961" t="s">
        <v>39</v>
      </c>
      <c r="N961" t="s">
        <v>14</v>
      </c>
    </row>
    <row r="962" spans="13:14" x14ac:dyDescent="0.25">
      <c r="M962" t="s">
        <v>16</v>
      </c>
      <c r="N962" t="s">
        <v>23</v>
      </c>
    </row>
    <row r="963" spans="13:14" x14ac:dyDescent="0.25">
      <c r="M963" t="s">
        <v>39</v>
      </c>
      <c r="N963" t="s">
        <v>29</v>
      </c>
    </row>
    <row r="964" spans="13:14" x14ac:dyDescent="0.25">
      <c r="M964" t="s">
        <v>24</v>
      </c>
      <c r="N964" t="s">
        <v>14</v>
      </c>
    </row>
    <row r="965" spans="13:14" x14ac:dyDescent="0.25">
      <c r="M965" t="s">
        <v>24</v>
      </c>
      <c r="N965" t="s">
        <v>23</v>
      </c>
    </row>
    <row r="966" spans="13:14" x14ac:dyDescent="0.25">
      <c r="M966" t="s">
        <v>16</v>
      </c>
      <c r="N966" t="s">
        <v>14</v>
      </c>
    </row>
    <row r="967" spans="13:14" x14ac:dyDescent="0.25">
      <c r="M967" t="s">
        <v>16</v>
      </c>
      <c r="N967" t="s">
        <v>23</v>
      </c>
    </row>
    <row r="968" spans="13:14" x14ac:dyDescent="0.25">
      <c r="M968" t="s">
        <v>39</v>
      </c>
      <c r="N968" t="s">
        <v>23</v>
      </c>
    </row>
    <row r="969" spans="13:14" x14ac:dyDescent="0.25">
      <c r="M969" t="s">
        <v>24</v>
      </c>
      <c r="N969" t="s">
        <v>23</v>
      </c>
    </row>
    <row r="970" spans="13:14" x14ac:dyDescent="0.25">
      <c r="M970" t="s">
        <v>39</v>
      </c>
      <c r="N970" t="s">
        <v>23</v>
      </c>
    </row>
    <row r="971" spans="13:14" x14ac:dyDescent="0.25">
      <c r="M971" t="s">
        <v>16</v>
      </c>
      <c r="N971" t="s">
        <v>23</v>
      </c>
    </row>
    <row r="972" spans="13:14" x14ac:dyDescent="0.25">
      <c r="M972" t="s">
        <v>39</v>
      </c>
      <c r="N972" t="s">
        <v>23</v>
      </c>
    </row>
    <row r="973" spans="13:14" x14ac:dyDescent="0.25">
      <c r="M973" t="s">
        <v>39</v>
      </c>
      <c r="N973" t="s">
        <v>14</v>
      </c>
    </row>
    <row r="974" spans="13:14" x14ac:dyDescent="0.25">
      <c r="M974" t="s">
        <v>39</v>
      </c>
      <c r="N974" t="s">
        <v>14</v>
      </c>
    </row>
    <row r="975" spans="13:14" x14ac:dyDescent="0.25">
      <c r="M975" t="s">
        <v>39</v>
      </c>
      <c r="N975" t="s">
        <v>29</v>
      </c>
    </row>
    <row r="976" spans="13:14" x14ac:dyDescent="0.25">
      <c r="M976" t="s">
        <v>24</v>
      </c>
      <c r="N976" t="s">
        <v>14</v>
      </c>
    </row>
    <row r="977" spans="13:14" x14ac:dyDescent="0.25">
      <c r="M977" t="s">
        <v>39</v>
      </c>
      <c r="N977" t="s">
        <v>14</v>
      </c>
    </row>
    <row r="978" spans="13:14" x14ac:dyDescent="0.25">
      <c r="M978" t="s">
        <v>16</v>
      </c>
      <c r="N978" t="s">
        <v>14</v>
      </c>
    </row>
    <row r="979" spans="13:14" x14ac:dyDescent="0.25">
      <c r="M979" t="s">
        <v>39</v>
      </c>
      <c r="N979" t="s">
        <v>29</v>
      </c>
    </row>
    <row r="980" spans="13:14" x14ac:dyDescent="0.25">
      <c r="M980" t="s">
        <v>16</v>
      </c>
      <c r="N980" t="s">
        <v>23</v>
      </c>
    </row>
    <row r="981" spans="13:14" x14ac:dyDescent="0.25">
      <c r="M981" t="s">
        <v>16</v>
      </c>
      <c r="N981" t="s">
        <v>29</v>
      </c>
    </row>
    <row r="982" spans="13:14" x14ac:dyDescent="0.25">
      <c r="M982" t="s">
        <v>16</v>
      </c>
      <c r="N982" t="s">
        <v>29</v>
      </c>
    </row>
    <row r="983" spans="13:14" x14ac:dyDescent="0.25">
      <c r="M983" t="s">
        <v>39</v>
      </c>
      <c r="N983" t="s">
        <v>23</v>
      </c>
    </row>
    <row r="984" spans="13:14" x14ac:dyDescent="0.25">
      <c r="M984" t="s">
        <v>39</v>
      </c>
      <c r="N984" t="s">
        <v>14</v>
      </c>
    </row>
    <row r="985" spans="13:14" x14ac:dyDescent="0.25">
      <c r="M985" t="s">
        <v>39</v>
      </c>
      <c r="N985" t="s">
        <v>14</v>
      </c>
    </row>
    <row r="986" spans="13:14" x14ac:dyDescent="0.25">
      <c r="M986" t="s">
        <v>24</v>
      </c>
      <c r="N986" t="s">
        <v>29</v>
      </c>
    </row>
    <row r="987" spans="13:14" x14ac:dyDescent="0.25">
      <c r="M987" t="s">
        <v>39</v>
      </c>
      <c r="N987" t="s">
        <v>23</v>
      </c>
    </row>
    <row r="988" spans="13:14" x14ac:dyDescent="0.25">
      <c r="M988" t="s">
        <v>16</v>
      </c>
      <c r="N988" t="s">
        <v>23</v>
      </c>
    </row>
    <row r="989" spans="13:14" x14ac:dyDescent="0.25">
      <c r="M989" t="s">
        <v>16</v>
      </c>
      <c r="N989" t="s">
        <v>29</v>
      </c>
    </row>
    <row r="990" spans="13:14" x14ac:dyDescent="0.25">
      <c r="M990" t="s">
        <v>16</v>
      </c>
      <c r="N990" t="s">
        <v>29</v>
      </c>
    </row>
    <row r="991" spans="13:14" x14ac:dyDescent="0.25">
      <c r="M991" t="s">
        <v>24</v>
      </c>
      <c r="N991" t="s">
        <v>23</v>
      </c>
    </row>
    <row r="992" spans="13:14" x14ac:dyDescent="0.25">
      <c r="M992" t="s">
        <v>39</v>
      </c>
      <c r="N992" t="s">
        <v>29</v>
      </c>
    </row>
    <row r="993" spans="13:14" x14ac:dyDescent="0.25">
      <c r="M993" t="s">
        <v>16</v>
      </c>
      <c r="N993" t="s">
        <v>29</v>
      </c>
    </row>
    <row r="994" spans="13:14" x14ac:dyDescent="0.25">
      <c r="M994" t="s">
        <v>24</v>
      </c>
      <c r="N994" t="s">
        <v>14</v>
      </c>
    </row>
    <row r="995" spans="13:14" x14ac:dyDescent="0.25">
      <c r="M995" t="s">
        <v>24</v>
      </c>
      <c r="N995" t="s">
        <v>23</v>
      </c>
    </row>
    <row r="996" spans="13:14" x14ac:dyDescent="0.25">
      <c r="M996" t="s">
        <v>24</v>
      </c>
      <c r="N996" t="s">
        <v>14</v>
      </c>
    </row>
    <row r="997" spans="13:14" x14ac:dyDescent="0.25">
      <c r="M997" t="s">
        <v>24</v>
      </c>
      <c r="N997" t="s">
        <v>29</v>
      </c>
    </row>
    <row r="998" spans="13:14" x14ac:dyDescent="0.25">
      <c r="M998" t="s">
        <v>24</v>
      </c>
      <c r="N998" t="s">
        <v>14</v>
      </c>
    </row>
    <row r="999" spans="13:14" x14ac:dyDescent="0.25">
      <c r="M999" t="s">
        <v>39</v>
      </c>
      <c r="N999" t="s">
        <v>29</v>
      </c>
    </row>
    <row r="1000" spans="13:14" x14ac:dyDescent="0.25">
      <c r="M1000" t="s">
        <v>39</v>
      </c>
      <c r="N1000" t="s">
        <v>29</v>
      </c>
    </row>
    <row r="1001" spans="13:14" x14ac:dyDescent="0.25">
      <c r="M1001" t="s">
        <v>39</v>
      </c>
      <c r="N1001" t="s">
        <v>14</v>
      </c>
    </row>
  </sheetData>
  <mergeCells count="9">
    <mergeCell ref="C28:C29"/>
    <mergeCell ref="D28:L28"/>
    <mergeCell ref="B2:B3"/>
    <mergeCell ref="C2:J2"/>
    <mergeCell ref="K2:K3"/>
    <mergeCell ref="B10:B11"/>
    <mergeCell ref="C10:K10"/>
    <mergeCell ref="B18:B19"/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Sheet7</vt:lpstr>
      <vt:lpstr>Entertainment_Preferences</vt:lpstr>
      <vt:lpstr>Sheet1</vt:lpstr>
      <vt:lpstr>Sheet2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xavier vijay</cp:lastModifiedBy>
  <dcterms:created xsi:type="dcterms:W3CDTF">2026-02-16T15:41:22Z</dcterms:created>
  <dcterms:modified xsi:type="dcterms:W3CDTF">2026-02-23T02:34:25Z</dcterms:modified>
</cp:coreProperties>
</file>